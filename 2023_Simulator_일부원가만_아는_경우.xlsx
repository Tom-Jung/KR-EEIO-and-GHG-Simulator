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ownloads\탄소배출\KREEIO_format\"/>
    </mc:Choice>
  </mc:AlternateContent>
  <xr:revisionPtr revIDLastSave="0" documentId="13_ncr:1_{D8B580F3-7CDA-4076-A675-F886B3E23C67}" xr6:coauthVersionLast="47" xr6:coauthVersionMax="47" xr10:uidLastSave="{00000000-0000-0000-0000-000000000000}"/>
  <bookViews>
    <workbookView xWindow="-135" yWindow="-135" windowWidth="20760" windowHeight="11070" tabRatio="863" activeTab="5" xr2:uid="{00000000-000D-0000-FFFF-FFFF00000000}"/>
  </bookViews>
  <sheets>
    <sheet name="cases2" sheetId="48" r:id="rId1"/>
    <sheet name="A표_총거래표(생산자)_원본" sheetId="51" r:id="rId2"/>
    <sheet name="국산거래표_원본" sheetId="52" r:id="rId3"/>
    <sheet name="수입거래표원본" sheetId="53" r:id="rId4"/>
    <sheet name="총투입계수(A)" sheetId="55" r:id="rId5"/>
    <sheet name="A표_총거래표(생산자)_new" sheetId="50" r:id="rId6"/>
    <sheet name="국산거래표_new" sheetId="29" r:id="rId7"/>
    <sheet name="T_mat_GHG_new" sheetId="49" r:id="rId8"/>
    <sheet name="T_mat_GHG" sheetId="28" r:id="rId9"/>
    <sheet name="Ad" sheetId="36" r:id="rId10"/>
    <sheet name="Lf" sheetId="37" r:id="rId11"/>
    <sheet name="M" sheetId="39" r:id="rId12"/>
    <sheet name="M.diag(X)" sheetId="45" r:id="rId13"/>
  </sheets>
  <definedNames>
    <definedName name="_xlnm._FilterDatabase" localSheetId="9" hidden="1">Ad!$A$6:$AK$41</definedName>
    <definedName name="_xlnm._FilterDatabase" localSheetId="5" hidden="1">'A표_총거래표(생산자)_new'!$A$6:$BD$46</definedName>
    <definedName name="_xlnm._FilterDatabase" localSheetId="1" hidden="1">'A표_총거래표(생산자)_원본'!$A$6:$BA$46</definedName>
    <definedName name="_xlnm._FilterDatabase" localSheetId="10" hidden="1">Lf!$A$6:$AK$41</definedName>
    <definedName name="_xlnm._FilterDatabase" localSheetId="11" hidden="1">M!$A$6:$AK$41</definedName>
    <definedName name="_xlnm._FilterDatabase" localSheetId="12" hidden="1">'M.diag(X)'!$A$6:$B$41</definedName>
    <definedName name="_xlnm._FilterDatabase" localSheetId="8" hidden="1">T_mat_GHG!$A$6:$BA$47</definedName>
    <definedName name="_xlnm._FilterDatabase" localSheetId="7" hidden="1">T_mat_GHG_new!$A$6:$AT$47</definedName>
    <definedName name="_xlnm._FilterDatabase" localSheetId="6" hidden="1">국산거래표_new!$A$6:$AT$40</definedName>
    <definedName name="_xlnm._FilterDatabase" localSheetId="2" hidden="1">국산거래표_원본!$A$6:$AS$39</definedName>
    <definedName name="_xlnm._FilterDatabase" localSheetId="3" hidden="1">수입거래표원본!$A$6:$AS$39</definedName>
    <definedName name="_xlnm._FilterDatabase" localSheetId="4" hidden="1">'총투입계수(A)'!$A$6:$AJ$39</definedName>
    <definedName name="\a" localSheetId="9">#REF!</definedName>
    <definedName name="\a" localSheetId="5">#REF!</definedName>
    <definedName name="\a" localSheetId="1">#REF!</definedName>
    <definedName name="\a" localSheetId="10">#REF!</definedName>
    <definedName name="\a" localSheetId="11">#REF!</definedName>
    <definedName name="\a" localSheetId="12">#REF!</definedName>
    <definedName name="\a" localSheetId="8">#REF!</definedName>
    <definedName name="\a" localSheetId="7">#REF!</definedName>
    <definedName name="\a" localSheetId="6">#REF!</definedName>
    <definedName name="\a" localSheetId="2">#REF!</definedName>
    <definedName name="\a" localSheetId="3">#REF!</definedName>
    <definedName name="\a" localSheetId="4">#REF!</definedName>
    <definedName name="\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48" l="1"/>
  <c r="I16" i="48"/>
  <c r="I17" i="48"/>
  <c r="I18" i="48"/>
  <c r="I19" i="48"/>
  <c r="I20" i="48"/>
  <c r="I21" i="48"/>
  <c r="I22" i="48"/>
  <c r="I23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5" i="48"/>
  <c r="I46" i="48"/>
  <c r="I47" i="48"/>
  <c r="I48" i="48"/>
  <c r="G12" i="48"/>
  <c r="I15" i="48"/>
  <c r="G10" i="48" l="1"/>
  <c r="G11" i="48"/>
  <c r="AK40" i="45"/>
  <c r="AK39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J41" i="45"/>
  <c r="AI41" i="45"/>
  <c r="AH41" i="45"/>
  <c r="AG41" i="45"/>
  <c r="AF41" i="45"/>
  <c r="AE41" i="45"/>
  <c r="AD41" i="45"/>
  <c r="AC41" i="45"/>
  <c r="AB41" i="45"/>
  <c r="AA41" i="45"/>
  <c r="Z41" i="45"/>
  <c r="Y41" i="45"/>
  <c r="X41" i="45"/>
  <c r="W41" i="45"/>
  <c r="V41" i="45"/>
  <c r="U41" i="45"/>
  <c r="T41" i="45"/>
  <c r="S41" i="45"/>
  <c r="R41" i="45"/>
  <c r="Q41" i="45"/>
  <c r="P41" i="45"/>
  <c r="O41" i="45"/>
  <c r="N41" i="45"/>
  <c r="M41" i="45"/>
  <c r="L41" i="45"/>
  <c r="K41" i="45"/>
  <c r="J41" i="45"/>
  <c r="I41" i="45"/>
  <c r="H41" i="45"/>
  <c r="G41" i="45"/>
  <c r="F41" i="45"/>
  <c r="E41" i="45"/>
  <c r="D41" i="45"/>
  <c r="C7" i="45" a="1"/>
  <c r="C7" i="45" s="1"/>
  <c r="G9" i="48"/>
  <c r="AK8" i="39" l="1"/>
  <c r="AK9" i="39"/>
  <c r="AK10" i="39"/>
  <c r="AK11" i="39"/>
  <c r="AK41" i="39" s="1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K25" i="39"/>
  <c r="AK26" i="39"/>
  <c r="AK27" i="39"/>
  <c r="AK28" i="39"/>
  <c r="AK29" i="39"/>
  <c r="AK30" i="39"/>
  <c r="AK31" i="39"/>
  <c r="AK32" i="39"/>
  <c r="AK33" i="39"/>
  <c r="AK34" i="39"/>
  <c r="AK35" i="39"/>
  <c r="AK36" i="39"/>
  <c r="AK37" i="39"/>
  <c r="AK38" i="39"/>
  <c r="AK39" i="39"/>
  <c r="AK40" i="39"/>
  <c r="AJ41" i="39"/>
  <c r="AI41" i="39"/>
  <c r="AH41" i="39"/>
  <c r="AG41" i="39"/>
  <c r="AF41" i="39"/>
  <c r="AE41" i="39"/>
  <c r="AD41" i="39"/>
  <c r="AC41" i="39"/>
  <c r="AB41" i="39"/>
  <c r="AA41" i="39"/>
  <c r="Z41" i="39"/>
  <c r="Y41" i="39"/>
  <c r="X41" i="39"/>
  <c r="W41" i="39"/>
  <c r="V41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7" i="39" a="1"/>
  <c r="C7" i="39" s="1"/>
  <c r="C127" i="36" a="1"/>
  <c r="C127" i="36" s="1"/>
  <c r="C7" i="37" a="1"/>
  <c r="C7" i="37" s="1"/>
  <c r="AK40" i="37"/>
  <c r="AK39" i="37"/>
  <c r="AK38" i="37"/>
  <c r="AK37" i="37"/>
  <c r="AK36" i="37"/>
  <c r="AK35" i="37"/>
  <c r="AK34" i="37"/>
  <c r="AK33" i="37"/>
  <c r="AK32" i="37"/>
  <c r="AK31" i="37"/>
  <c r="AK30" i="37"/>
  <c r="AK29" i="37"/>
  <c r="AK28" i="37"/>
  <c r="AK27" i="37"/>
  <c r="AK26" i="37"/>
  <c r="AK25" i="37"/>
  <c r="AK24" i="37"/>
  <c r="AK23" i="37"/>
  <c r="AK22" i="37"/>
  <c r="AK21" i="37"/>
  <c r="AK20" i="37"/>
  <c r="AK19" i="37"/>
  <c r="AK18" i="37"/>
  <c r="AK17" i="37"/>
  <c r="AK16" i="37"/>
  <c r="AK15" i="37"/>
  <c r="AK14" i="37"/>
  <c r="AK13" i="37"/>
  <c r="AK12" i="37"/>
  <c r="AK11" i="37"/>
  <c r="AK10" i="37"/>
  <c r="AK9" i="37"/>
  <c r="AK8" i="37"/>
  <c r="AJ41" i="37"/>
  <c r="AI41" i="37"/>
  <c r="AH41" i="37"/>
  <c r="AG41" i="37"/>
  <c r="AF41" i="37"/>
  <c r="AE41" i="37"/>
  <c r="AD41" i="37"/>
  <c r="AC41" i="37"/>
  <c r="AB41" i="37"/>
  <c r="AA41" i="37"/>
  <c r="Z41" i="37"/>
  <c r="Y41" i="37"/>
  <c r="X41" i="37"/>
  <c r="W41" i="37"/>
  <c r="V41" i="37"/>
  <c r="U41" i="37"/>
  <c r="T41" i="37"/>
  <c r="S41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E41" i="37"/>
  <c r="D41" i="37"/>
  <c r="AJ121" i="36"/>
  <c r="AI121" i="36"/>
  <c r="AH121" i="36"/>
  <c r="AG121" i="36"/>
  <c r="AF121" i="36"/>
  <c r="AE121" i="36"/>
  <c r="AD121" i="36"/>
  <c r="AC121" i="36"/>
  <c r="AB121" i="36"/>
  <c r="AA121" i="36"/>
  <c r="Z121" i="36"/>
  <c r="Y121" i="36"/>
  <c r="X121" i="36"/>
  <c r="W121" i="36"/>
  <c r="V121" i="36"/>
  <c r="U121" i="36"/>
  <c r="T121" i="36"/>
  <c r="S121" i="36"/>
  <c r="R121" i="36"/>
  <c r="Q121" i="36"/>
  <c r="P121" i="36"/>
  <c r="O121" i="36"/>
  <c r="N121" i="36"/>
  <c r="M121" i="36"/>
  <c r="L121" i="36"/>
  <c r="K121" i="36"/>
  <c r="J121" i="36"/>
  <c r="I121" i="36"/>
  <c r="AK121" i="36" s="1"/>
  <c r="H121" i="36"/>
  <c r="G121" i="36"/>
  <c r="F121" i="36"/>
  <c r="E121" i="36"/>
  <c r="D121" i="36"/>
  <c r="C121" i="36"/>
  <c r="AJ120" i="36"/>
  <c r="AI120" i="36"/>
  <c r="AH120" i="36"/>
  <c r="AG120" i="36"/>
  <c r="AF120" i="36"/>
  <c r="AE120" i="36"/>
  <c r="AD120" i="36"/>
  <c r="AC120" i="36"/>
  <c r="AB120" i="36"/>
  <c r="AA120" i="36"/>
  <c r="Z120" i="36"/>
  <c r="Y120" i="36"/>
  <c r="X120" i="36"/>
  <c r="W120" i="36"/>
  <c r="V120" i="36"/>
  <c r="U120" i="36"/>
  <c r="T120" i="36"/>
  <c r="S120" i="36"/>
  <c r="R120" i="36"/>
  <c r="Q120" i="36"/>
  <c r="P120" i="36"/>
  <c r="O120" i="36"/>
  <c r="N120" i="36"/>
  <c r="M120" i="36"/>
  <c r="L120" i="36"/>
  <c r="K120" i="36"/>
  <c r="AK120" i="36" s="1"/>
  <c r="J120" i="36"/>
  <c r="I120" i="36"/>
  <c r="H120" i="36"/>
  <c r="G120" i="36"/>
  <c r="F120" i="36"/>
  <c r="E120" i="36"/>
  <c r="D120" i="36"/>
  <c r="C120" i="36"/>
  <c r="AJ119" i="36"/>
  <c r="AI119" i="36"/>
  <c r="AH119" i="36"/>
  <c r="AG119" i="36"/>
  <c r="AF119" i="36"/>
  <c r="AE119" i="36"/>
  <c r="AD119" i="36"/>
  <c r="AC119" i="36"/>
  <c r="AB119" i="36"/>
  <c r="AA119" i="36"/>
  <c r="Z119" i="36"/>
  <c r="Y119" i="36"/>
  <c r="X119" i="36"/>
  <c r="W119" i="36"/>
  <c r="V119" i="36"/>
  <c r="U119" i="36"/>
  <c r="T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AJ118" i="36"/>
  <c r="AI118" i="36"/>
  <c r="AH118" i="36"/>
  <c r="AG118" i="36"/>
  <c r="AF118" i="36"/>
  <c r="AE118" i="36"/>
  <c r="AD118" i="36"/>
  <c r="AC118" i="36"/>
  <c r="AB118" i="36"/>
  <c r="AA118" i="36"/>
  <c r="Z118" i="36"/>
  <c r="Y118" i="36"/>
  <c r="X118" i="36"/>
  <c r="W118" i="36"/>
  <c r="V118" i="36"/>
  <c r="U118" i="36"/>
  <c r="T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AK118" i="36" s="1"/>
  <c r="C118" i="36"/>
  <c r="AJ117" i="36"/>
  <c r="AI117" i="36"/>
  <c r="AH117" i="36"/>
  <c r="AG117" i="36"/>
  <c r="AF117" i="36"/>
  <c r="AE117" i="36"/>
  <c r="AD117" i="36"/>
  <c r="AC117" i="36"/>
  <c r="AB117" i="36"/>
  <c r="AA117" i="36"/>
  <c r="Z117" i="36"/>
  <c r="Y117" i="36"/>
  <c r="X117" i="36"/>
  <c r="W117" i="36"/>
  <c r="V117" i="36"/>
  <c r="U117" i="36"/>
  <c r="T117" i="36"/>
  <c r="S117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F117" i="36"/>
  <c r="E117" i="36"/>
  <c r="D117" i="36"/>
  <c r="C117" i="36"/>
  <c r="AK117" i="36" s="1"/>
  <c r="AJ116" i="36"/>
  <c r="AI116" i="36"/>
  <c r="AH116" i="36"/>
  <c r="AG116" i="36"/>
  <c r="AF116" i="36"/>
  <c r="AE116" i="36"/>
  <c r="AD116" i="36"/>
  <c r="AC116" i="36"/>
  <c r="AB116" i="36"/>
  <c r="AA116" i="36"/>
  <c r="Z116" i="36"/>
  <c r="Y116" i="36"/>
  <c r="X116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C116" i="36"/>
  <c r="AK116" i="36" s="1"/>
  <c r="AJ115" i="36"/>
  <c r="AI115" i="36"/>
  <c r="AH115" i="36"/>
  <c r="AG115" i="36"/>
  <c r="AF115" i="36"/>
  <c r="AE115" i="36"/>
  <c r="AD115" i="36"/>
  <c r="AC115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AK115" i="36" s="1"/>
  <c r="D115" i="36"/>
  <c r="C115" i="36"/>
  <c r="AJ114" i="36"/>
  <c r="AI114" i="36"/>
  <c r="AH114" i="36"/>
  <c r="AG114" i="36"/>
  <c r="AF114" i="36"/>
  <c r="AE114" i="36"/>
  <c r="AD114" i="36"/>
  <c r="AC114" i="36"/>
  <c r="AB114" i="36"/>
  <c r="AA114" i="36"/>
  <c r="Z114" i="36"/>
  <c r="Y114" i="36"/>
  <c r="X114" i="36"/>
  <c r="W114" i="36"/>
  <c r="V114" i="36"/>
  <c r="U114" i="36"/>
  <c r="T114" i="36"/>
  <c r="S114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AK114" i="36" s="1"/>
  <c r="F114" i="36"/>
  <c r="E114" i="36"/>
  <c r="D114" i="36"/>
  <c r="C114" i="36"/>
  <c r="AJ113" i="36"/>
  <c r="AI113" i="36"/>
  <c r="AH113" i="36"/>
  <c r="AG113" i="36"/>
  <c r="AF113" i="36"/>
  <c r="AE113" i="36"/>
  <c r="AD113" i="36"/>
  <c r="AC113" i="36"/>
  <c r="AB113" i="36"/>
  <c r="AA113" i="36"/>
  <c r="Z113" i="36"/>
  <c r="Y113" i="36"/>
  <c r="X113" i="36"/>
  <c r="W113" i="36"/>
  <c r="V113" i="36"/>
  <c r="U113" i="36"/>
  <c r="T113" i="36"/>
  <c r="S113" i="36"/>
  <c r="R113" i="36"/>
  <c r="Q113" i="36"/>
  <c r="P113" i="36"/>
  <c r="O113" i="36"/>
  <c r="N113" i="36"/>
  <c r="M113" i="36"/>
  <c r="L113" i="36"/>
  <c r="K113" i="36"/>
  <c r="J113" i="36"/>
  <c r="I113" i="36"/>
  <c r="AK113" i="36" s="1"/>
  <c r="H113" i="36"/>
  <c r="G113" i="36"/>
  <c r="F113" i="36"/>
  <c r="E113" i="36"/>
  <c r="D113" i="36"/>
  <c r="C113" i="36"/>
  <c r="AJ112" i="36"/>
  <c r="AI112" i="36"/>
  <c r="AH112" i="36"/>
  <c r="AG112" i="36"/>
  <c r="AF112" i="36"/>
  <c r="AE112" i="36"/>
  <c r="AD112" i="36"/>
  <c r="AC112" i="36"/>
  <c r="AB112" i="36"/>
  <c r="AA112" i="36"/>
  <c r="Z112" i="36"/>
  <c r="Y112" i="36"/>
  <c r="X112" i="36"/>
  <c r="W112" i="36"/>
  <c r="V112" i="36"/>
  <c r="U112" i="36"/>
  <c r="T112" i="36"/>
  <c r="S112" i="36"/>
  <c r="R112" i="36"/>
  <c r="Q112" i="36"/>
  <c r="P112" i="36"/>
  <c r="O112" i="36"/>
  <c r="N112" i="36"/>
  <c r="M112" i="36"/>
  <c r="L112" i="36"/>
  <c r="K112" i="36"/>
  <c r="J112" i="36"/>
  <c r="I112" i="36"/>
  <c r="H112" i="36"/>
  <c r="AK112" i="36" s="1"/>
  <c r="G112" i="36"/>
  <c r="F112" i="36"/>
  <c r="E112" i="36"/>
  <c r="D112" i="36"/>
  <c r="C112" i="36"/>
  <c r="AJ111" i="36"/>
  <c r="AI111" i="36"/>
  <c r="AH111" i="36"/>
  <c r="AG111" i="36"/>
  <c r="AF111" i="36"/>
  <c r="AE111" i="36"/>
  <c r="AD111" i="36"/>
  <c r="AC111" i="36"/>
  <c r="AB111" i="36"/>
  <c r="AA111" i="36"/>
  <c r="Z111" i="36"/>
  <c r="Y111" i="36"/>
  <c r="X111" i="36"/>
  <c r="W111" i="36"/>
  <c r="V111" i="36"/>
  <c r="U111" i="36"/>
  <c r="T111" i="36"/>
  <c r="S111" i="36"/>
  <c r="R111" i="36"/>
  <c r="Q111" i="36"/>
  <c r="P111" i="36"/>
  <c r="O111" i="36"/>
  <c r="N111" i="36"/>
  <c r="M111" i="36"/>
  <c r="AK111" i="36" s="1"/>
  <c r="L111" i="36"/>
  <c r="K111" i="36"/>
  <c r="J111" i="36"/>
  <c r="I111" i="36"/>
  <c r="H111" i="36"/>
  <c r="G111" i="36"/>
  <c r="F111" i="36"/>
  <c r="E111" i="36"/>
  <c r="D111" i="36"/>
  <c r="C111" i="36"/>
  <c r="AJ110" i="36"/>
  <c r="AI110" i="36"/>
  <c r="AH110" i="36"/>
  <c r="AG110" i="36"/>
  <c r="AF110" i="36"/>
  <c r="AE110" i="36"/>
  <c r="AD110" i="36"/>
  <c r="AC110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AK110" i="36" s="1"/>
  <c r="C110" i="36"/>
  <c r="AJ109" i="36"/>
  <c r="AI109" i="36"/>
  <c r="AH109" i="36"/>
  <c r="AG109" i="36"/>
  <c r="AF109" i="36"/>
  <c r="AE109" i="36"/>
  <c r="AD109" i="36"/>
  <c r="AC109" i="36"/>
  <c r="AB109" i="36"/>
  <c r="AA109" i="36"/>
  <c r="Z109" i="36"/>
  <c r="Y109" i="36"/>
  <c r="X109" i="36"/>
  <c r="W109" i="36"/>
  <c r="V109" i="36"/>
  <c r="U109" i="36"/>
  <c r="T109" i="36"/>
  <c r="S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AK109" i="36" s="1"/>
  <c r="AJ108" i="36"/>
  <c r="AI108" i="36"/>
  <c r="AH108" i="36"/>
  <c r="AG108" i="36"/>
  <c r="AF108" i="36"/>
  <c r="AE108" i="36"/>
  <c r="AD108" i="36"/>
  <c r="AC108" i="36"/>
  <c r="AB108" i="36"/>
  <c r="AA108" i="36"/>
  <c r="Z108" i="36"/>
  <c r="Y108" i="36"/>
  <c r="X108" i="36"/>
  <c r="W108" i="36"/>
  <c r="V108" i="36"/>
  <c r="U108" i="36"/>
  <c r="T108" i="36"/>
  <c r="S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AK108" i="36" s="1"/>
  <c r="AJ107" i="36"/>
  <c r="AI107" i="36"/>
  <c r="AH107" i="36"/>
  <c r="AG107" i="36"/>
  <c r="AF107" i="36"/>
  <c r="AE107" i="36"/>
  <c r="AD107" i="36"/>
  <c r="AC107" i="36"/>
  <c r="AB107" i="36"/>
  <c r="AA107" i="36"/>
  <c r="Z107" i="36"/>
  <c r="Y107" i="36"/>
  <c r="X107" i="36"/>
  <c r="W107" i="36"/>
  <c r="V107" i="36"/>
  <c r="U107" i="36"/>
  <c r="T107" i="36"/>
  <c r="S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AK107" i="36" s="1"/>
  <c r="D107" i="36"/>
  <c r="C107" i="36"/>
  <c r="AJ106" i="36"/>
  <c r="AI106" i="36"/>
  <c r="AH106" i="36"/>
  <c r="AG106" i="36"/>
  <c r="AF106" i="36"/>
  <c r="AE106" i="36"/>
  <c r="AD106" i="36"/>
  <c r="AC106" i="36"/>
  <c r="AB106" i="36"/>
  <c r="AA106" i="36"/>
  <c r="Z106" i="36"/>
  <c r="Y106" i="36"/>
  <c r="X106" i="36"/>
  <c r="W106" i="36"/>
  <c r="V106" i="36"/>
  <c r="U106" i="36"/>
  <c r="T106" i="36"/>
  <c r="S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AK106" i="36" s="1"/>
  <c r="F106" i="36"/>
  <c r="E106" i="36"/>
  <c r="D106" i="36"/>
  <c r="C106" i="36"/>
  <c r="AJ105" i="36"/>
  <c r="AI105" i="36"/>
  <c r="AH105" i="36"/>
  <c r="AG105" i="36"/>
  <c r="AF105" i="36"/>
  <c r="AE105" i="36"/>
  <c r="AD105" i="36"/>
  <c r="AC105" i="36"/>
  <c r="AB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AK105" i="36" s="1"/>
  <c r="H105" i="36"/>
  <c r="G105" i="36"/>
  <c r="F105" i="36"/>
  <c r="E105" i="36"/>
  <c r="D105" i="36"/>
  <c r="C105" i="36"/>
  <c r="AJ104" i="36"/>
  <c r="AI104" i="36"/>
  <c r="AH104" i="36"/>
  <c r="AG104" i="36"/>
  <c r="AF104" i="36"/>
  <c r="AE104" i="36"/>
  <c r="AD104" i="36"/>
  <c r="AC104" i="36"/>
  <c r="AB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AK104" i="36" s="1"/>
  <c r="J104" i="36"/>
  <c r="I104" i="36"/>
  <c r="H104" i="36"/>
  <c r="G104" i="36"/>
  <c r="F104" i="36"/>
  <c r="E104" i="36"/>
  <c r="D104" i="36"/>
  <c r="C104" i="36"/>
  <c r="AJ103" i="36"/>
  <c r="AI103" i="36"/>
  <c r="AH103" i="36"/>
  <c r="AG103" i="36"/>
  <c r="AF103" i="36"/>
  <c r="AE103" i="36"/>
  <c r="AD103" i="36"/>
  <c r="AC103" i="36"/>
  <c r="AB103" i="36"/>
  <c r="AA103" i="36"/>
  <c r="Z103" i="36"/>
  <c r="Y103" i="36"/>
  <c r="X103" i="36"/>
  <c r="W103" i="36"/>
  <c r="V103" i="36"/>
  <c r="U103" i="36"/>
  <c r="T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AJ102" i="36"/>
  <c r="AI102" i="36"/>
  <c r="AH102" i="36"/>
  <c r="AG102" i="36"/>
  <c r="AF102" i="36"/>
  <c r="AE102" i="36"/>
  <c r="AD102" i="36"/>
  <c r="AC102" i="36"/>
  <c r="AB102" i="36"/>
  <c r="AA102" i="36"/>
  <c r="Z102" i="36"/>
  <c r="Y102" i="36"/>
  <c r="X102" i="36"/>
  <c r="W102" i="36"/>
  <c r="V102" i="36"/>
  <c r="U102" i="36"/>
  <c r="T102" i="36"/>
  <c r="S102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AK102" i="36" s="1"/>
  <c r="C102" i="36"/>
  <c r="AJ101" i="36"/>
  <c r="AI101" i="36"/>
  <c r="AH101" i="36"/>
  <c r="AG101" i="36"/>
  <c r="AF101" i="36"/>
  <c r="AE101" i="36"/>
  <c r="AD101" i="36"/>
  <c r="AC101" i="36"/>
  <c r="AB101" i="36"/>
  <c r="AA101" i="36"/>
  <c r="Z101" i="36"/>
  <c r="Y101" i="36"/>
  <c r="X101" i="36"/>
  <c r="W101" i="36"/>
  <c r="V101" i="36"/>
  <c r="U101" i="36"/>
  <c r="T101" i="36"/>
  <c r="S101" i="36"/>
  <c r="R101" i="36"/>
  <c r="Q101" i="36"/>
  <c r="P101" i="36"/>
  <c r="O101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AK101" i="36" s="1"/>
  <c r="AJ100" i="36"/>
  <c r="AI100" i="36"/>
  <c r="AH100" i="36"/>
  <c r="AG100" i="36"/>
  <c r="AF100" i="36"/>
  <c r="AE100" i="36"/>
  <c r="AD100" i="36"/>
  <c r="AC100" i="36"/>
  <c r="AB100" i="36"/>
  <c r="AA100" i="36"/>
  <c r="Z100" i="36"/>
  <c r="Y100" i="36"/>
  <c r="X100" i="36"/>
  <c r="W100" i="36"/>
  <c r="V100" i="36"/>
  <c r="U100" i="36"/>
  <c r="T100" i="36"/>
  <c r="S100" i="36"/>
  <c r="R100" i="36"/>
  <c r="Q100" i="36"/>
  <c r="P100" i="36"/>
  <c r="O100" i="36"/>
  <c r="N100" i="36"/>
  <c r="M100" i="36"/>
  <c r="L100" i="36"/>
  <c r="K100" i="36"/>
  <c r="J100" i="36"/>
  <c r="I100" i="36"/>
  <c r="H100" i="36"/>
  <c r="G100" i="36"/>
  <c r="F100" i="36"/>
  <c r="E100" i="36"/>
  <c r="D100" i="36"/>
  <c r="C100" i="36"/>
  <c r="AK100" i="36" s="1"/>
  <c r="AJ99" i="36"/>
  <c r="AI99" i="36"/>
  <c r="AH99" i="36"/>
  <c r="AG99" i="36"/>
  <c r="AF99" i="36"/>
  <c r="AE99" i="36"/>
  <c r="AD99" i="36"/>
  <c r="AC99" i="36"/>
  <c r="AB99" i="36"/>
  <c r="AA99" i="36"/>
  <c r="Z99" i="36"/>
  <c r="Y99" i="36"/>
  <c r="X99" i="36"/>
  <c r="W99" i="36"/>
  <c r="V99" i="36"/>
  <c r="U99" i="36"/>
  <c r="T99" i="36"/>
  <c r="S99" i="36"/>
  <c r="R99" i="36"/>
  <c r="Q99" i="36"/>
  <c r="P99" i="36"/>
  <c r="O99" i="36"/>
  <c r="N99" i="36"/>
  <c r="M99" i="36"/>
  <c r="L99" i="36"/>
  <c r="K99" i="36"/>
  <c r="J99" i="36"/>
  <c r="I99" i="36"/>
  <c r="H99" i="36"/>
  <c r="G99" i="36"/>
  <c r="F99" i="36"/>
  <c r="E99" i="36"/>
  <c r="AK99" i="36" s="1"/>
  <c r="D99" i="36"/>
  <c r="C99" i="36"/>
  <c r="AJ98" i="36"/>
  <c r="AI98" i="36"/>
  <c r="AH98" i="36"/>
  <c r="AG98" i="36"/>
  <c r="AF98" i="36"/>
  <c r="AE98" i="36"/>
  <c r="AD98" i="36"/>
  <c r="AC98" i="36"/>
  <c r="AB98" i="36"/>
  <c r="AA98" i="36"/>
  <c r="Z98" i="36"/>
  <c r="Y98" i="36"/>
  <c r="X98" i="36"/>
  <c r="W98" i="36"/>
  <c r="V98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AK98" i="36" s="1"/>
  <c r="AJ97" i="36"/>
  <c r="AI97" i="36"/>
  <c r="AH97" i="36"/>
  <c r="AG97" i="36"/>
  <c r="AF97" i="36"/>
  <c r="AE97" i="36"/>
  <c r="AD97" i="36"/>
  <c r="AC97" i="36"/>
  <c r="AB97" i="36"/>
  <c r="AA97" i="36"/>
  <c r="Z97" i="36"/>
  <c r="Y97" i="36"/>
  <c r="X97" i="36"/>
  <c r="W97" i="36"/>
  <c r="V97" i="36"/>
  <c r="U97" i="36"/>
  <c r="T97" i="36"/>
  <c r="S97" i="36"/>
  <c r="R97" i="36"/>
  <c r="Q97" i="36"/>
  <c r="P97" i="36"/>
  <c r="O97" i="36"/>
  <c r="N97" i="36"/>
  <c r="M97" i="36"/>
  <c r="L97" i="36"/>
  <c r="K97" i="36"/>
  <c r="J97" i="36"/>
  <c r="I97" i="36"/>
  <c r="H97" i="36"/>
  <c r="G97" i="36"/>
  <c r="F97" i="36"/>
  <c r="E97" i="36"/>
  <c r="AK97" i="36" s="1"/>
  <c r="D97" i="36"/>
  <c r="C97" i="36"/>
  <c r="AJ96" i="36"/>
  <c r="AI96" i="36"/>
  <c r="AH96" i="36"/>
  <c r="AG96" i="36"/>
  <c r="AF96" i="36"/>
  <c r="AE96" i="36"/>
  <c r="AD96" i="36"/>
  <c r="AC96" i="36"/>
  <c r="AB96" i="36"/>
  <c r="AA96" i="36"/>
  <c r="Z96" i="36"/>
  <c r="Y96" i="36"/>
  <c r="X96" i="36"/>
  <c r="W96" i="36"/>
  <c r="V96" i="36"/>
  <c r="U96" i="36"/>
  <c r="T96" i="36"/>
  <c r="S96" i="36"/>
  <c r="R96" i="36"/>
  <c r="Q96" i="36"/>
  <c r="P96" i="36"/>
  <c r="O96" i="36"/>
  <c r="N96" i="36"/>
  <c r="M96" i="36"/>
  <c r="L96" i="36"/>
  <c r="K96" i="36"/>
  <c r="J96" i="36"/>
  <c r="I96" i="36"/>
  <c r="H96" i="36"/>
  <c r="G96" i="36"/>
  <c r="AK96" i="36" s="1"/>
  <c r="F96" i="36"/>
  <c r="E96" i="36"/>
  <c r="D96" i="36"/>
  <c r="C96" i="36"/>
  <c r="AJ95" i="36"/>
  <c r="AI95" i="36"/>
  <c r="AH95" i="36"/>
  <c r="AG95" i="36"/>
  <c r="AF95" i="36"/>
  <c r="AE95" i="36"/>
  <c r="AD95" i="36"/>
  <c r="AC95" i="36"/>
  <c r="AB95" i="36"/>
  <c r="AA95" i="36"/>
  <c r="Z95" i="36"/>
  <c r="Y95" i="36"/>
  <c r="X95" i="36"/>
  <c r="W95" i="36"/>
  <c r="V95" i="36"/>
  <c r="U95" i="36"/>
  <c r="T95" i="36"/>
  <c r="S95" i="36"/>
  <c r="R95" i="36"/>
  <c r="Q95" i="36"/>
  <c r="P95" i="36"/>
  <c r="O95" i="36"/>
  <c r="N95" i="36"/>
  <c r="M95" i="36"/>
  <c r="L95" i="36"/>
  <c r="K95" i="36"/>
  <c r="J95" i="36"/>
  <c r="I95" i="36"/>
  <c r="AK95" i="36" s="1"/>
  <c r="H95" i="36"/>
  <c r="G95" i="36"/>
  <c r="F95" i="36"/>
  <c r="E95" i="36"/>
  <c r="D95" i="36"/>
  <c r="C95" i="36"/>
  <c r="AJ94" i="36"/>
  <c r="AI94" i="36"/>
  <c r="AH94" i="36"/>
  <c r="AG94" i="36"/>
  <c r="AF94" i="36"/>
  <c r="AE94" i="36"/>
  <c r="AD94" i="36"/>
  <c r="AC94" i="36"/>
  <c r="AB94" i="36"/>
  <c r="AA94" i="36"/>
  <c r="Z94" i="36"/>
  <c r="Y94" i="36"/>
  <c r="X94" i="36"/>
  <c r="W94" i="36"/>
  <c r="V94" i="36"/>
  <c r="U94" i="36"/>
  <c r="T94" i="36"/>
  <c r="S94" i="36"/>
  <c r="R94" i="36"/>
  <c r="Q94" i="36"/>
  <c r="P94" i="36"/>
  <c r="O94" i="36"/>
  <c r="N94" i="36"/>
  <c r="M94" i="36"/>
  <c r="L94" i="36"/>
  <c r="K94" i="36"/>
  <c r="J94" i="36"/>
  <c r="I94" i="36"/>
  <c r="H94" i="36"/>
  <c r="G94" i="36"/>
  <c r="F94" i="36"/>
  <c r="E94" i="36"/>
  <c r="D94" i="36"/>
  <c r="C94" i="36"/>
  <c r="AJ93" i="36"/>
  <c r="AI93" i="36"/>
  <c r="AH93" i="36"/>
  <c r="AG93" i="36"/>
  <c r="AF93" i="36"/>
  <c r="AE93" i="36"/>
  <c r="AD93" i="36"/>
  <c r="AC93" i="36"/>
  <c r="AB93" i="36"/>
  <c r="AA93" i="36"/>
  <c r="Z93" i="36"/>
  <c r="Y93" i="36"/>
  <c r="X93" i="36"/>
  <c r="W93" i="36"/>
  <c r="V93" i="36"/>
  <c r="U93" i="36"/>
  <c r="T93" i="36"/>
  <c r="S93" i="36"/>
  <c r="R93" i="36"/>
  <c r="Q93" i="36"/>
  <c r="P93" i="36"/>
  <c r="O93" i="36"/>
  <c r="N93" i="36"/>
  <c r="M93" i="36"/>
  <c r="L93" i="36"/>
  <c r="K93" i="36"/>
  <c r="J93" i="36"/>
  <c r="I93" i="36"/>
  <c r="H93" i="36"/>
  <c r="G93" i="36"/>
  <c r="F93" i="36"/>
  <c r="E93" i="36"/>
  <c r="D93" i="36"/>
  <c r="C93" i="36"/>
  <c r="AK93" i="36" s="1"/>
  <c r="AJ92" i="36"/>
  <c r="AI92" i="36"/>
  <c r="AH92" i="36"/>
  <c r="AG92" i="36"/>
  <c r="AF92" i="36"/>
  <c r="AE92" i="36"/>
  <c r="AD92" i="36"/>
  <c r="AC92" i="36"/>
  <c r="AB92" i="36"/>
  <c r="AA92" i="36"/>
  <c r="Z92" i="36"/>
  <c r="Y92" i="36"/>
  <c r="X92" i="36"/>
  <c r="W92" i="36"/>
  <c r="V92" i="36"/>
  <c r="U92" i="36"/>
  <c r="T92" i="36"/>
  <c r="S92" i="36"/>
  <c r="R92" i="36"/>
  <c r="Q92" i="36"/>
  <c r="P92" i="36"/>
  <c r="O92" i="36"/>
  <c r="N92" i="36"/>
  <c r="M92" i="36"/>
  <c r="L92" i="36"/>
  <c r="K92" i="36"/>
  <c r="J92" i="36"/>
  <c r="I92" i="36"/>
  <c r="H92" i="36"/>
  <c r="G92" i="36"/>
  <c r="F92" i="36"/>
  <c r="E92" i="36"/>
  <c r="D92" i="36"/>
  <c r="C92" i="36"/>
  <c r="AK92" i="36" s="1"/>
  <c r="AJ91" i="36"/>
  <c r="AI91" i="36"/>
  <c r="AH91" i="36"/>
  <c r="AG91" i="36"/>
  <c r="AF91" i="36"/>
  <c r="AE91" i="36"/>
  <c r="AD91" i="36"/>
  <c r="AC91" i="36"/>
  <c r="AB91" i="36"/>
  <c r="AA91" i="36"/>
  <c r="Z91" i="36"/>
  <c r="Y91" i="36"/>
  <c r="X91" i="36"/>
  <c r="W91" i="36"/>
  <c r="V91" i="36"/>
  <c r="U91" i="36"/>
  <c r="T91" i="36"/>
  <c r="S91" i="36"/>
  <c r="R91" i="36"/>
  <c r="Q91" i="36"/>
  <c r="P91" i="36"/>
  <c r="O91" i="36"/>
  <c r="N91" i="36"/>
  <c r="M91" i="36"/>
  <c r="L91" i="36"/>
  <c r="K91" i="36"/>
  <c r="J91" i="36"/>
  <c r="I91" i="36"/>
  <c r="H91" i="36"/>
  <c r="G91" i="36"/>
  <c r="F91" i="36"/>
  <c r="E91" i="36"/>
  <c r="AK91" i="36" s="1"/>
  <c r="D91" i="36"/>
  <c r="C91" i="36"/>
  <c r="AJ90" i="36"/>
  <c r="AI90" i="36"/>
  <c r="AH90" i="36"/>
  <c r="AG90" i="36"/>
  <c r="AF90" i="36"/>
  <c r="AE90" i="36"/>
  <c r="AD90" i="36"/>
  <c r="AC90" i="36"/>
  <c r="AB90" i="36"/>
  <c r="AA90" i="36"/>
  <c r="Z90" i="36"/>
  <c r="Y90" i="36"/>
  <c r="X90" i="36"/>
  <c r="W90" i="36"/>
  <c r="V90" i="36"/>
  <c r="U90" i="36"/>
  <c r="T90" i="36"/>
  <c r="S90" i="36"/>
  <c r="R90" i="36"/>
  <c r="Q90" i="36"/>
  <c r="P90" i="36"/>
  <c r="O90" i="36"/>
  <c r="N90" i="36"/>
  <c r="M90" i="36"/>
  <c r="L90" i="36"/>
  <c r="K90" i="36"/>
  <c r="J90" i="36"/>
  <c r="I90" i="36"/>
  <c r="H90" i="36"/>
  <c r="G90" i="36"/>
  <c r="F90" i="36"/>
  <c r="E90" i="36"/>
  <c r="D90" i="36"/>
  <c r="C90" i="36"/>
  <c r="AK90" i="36" s="1"/>
  <c r="AJ89" i="36"/>
  <c r="AI89" i="36"/>
  <c r="AH89" i="36"/>
  <c r="AG89" i="36"/>
  <c r="AF89" i="36"/>
  <c r="AE89" i="36"/>
  <c r="AD89" i="36"/>
  <c r="AC89" i="36"/>
  <c r="AB89" i="36"/>
  <c r="AA89" i="36"/>
  <c r="Z89" i="36"/>
  <c r="Y89" i="36"/>
  <c r="X89" i="36"/>
  <c r="W89" i="36"/>
  <c r="V89" i="36"/>
  <c r="U89" i="36"/>
  <c r="T89" i="36"/>
  <c r="S89" i="36"/>
  <c r="R89" i="36"/>
  <c r="Q89" i="36"/>
  <c r="P89" i="36"/>
  <c r="O89" i="36"/>
  <c r="N89" i="36"/>
  <c r="M89" i="36"/>
  <c r="L89" i="36"/>
  <c r="K89" i="36"/>
  <c r="J89" i="36"/>
  <c r="I89" i="36"/>
  <c r="AK89" i="36" s="1"/>
  <c r="H89" i="36"/>
  <c r="G89" i="36"/>
  <c r="F89" i="36"/>
  <c r="E89" i="36"/>
  <c r="D89" i="36"/>
  <c r="C89" i="36"/>
  <c r="AJ88" i="36"/>
  <c r="AI88" i="36"/>
  <c r="AH88" i="36"/>
  <c r="AG88" i="36"/>
  <c r="AF88" i="36"/>
  <c r="AE88" i="36"/>
  <c r="AD88" i="36"/>
  <c r="AC88" i="36"/>
  <c r="AB88" i="36"/>
  <c r="AA88" i="36"/>
  <c r="Z88" i="36"/>
  <c r="Y88" i="36"/>
  <c r="X88" i="36"/>
  <c r="W88" i="36"/>
  <c r="V88" i="36"/>
  <c r="U88" i="36"/>
  <c r="T88" i="36"/>
  <c r="S88" i="36"/>
  <c r="R88" i="36"/>
  <c r="Q88" i="36"/>
  <c r="P88" i="36"/>
  <c r="O88" i="36"/>
  <c r="N88" i="36"/>
  <c r="M88" i="36"/>
  <c r="L88" i="36"/>
  <c r="K88" i="36"/>
  <c r="AK88" i="36" s="1"/>
  <c r="J88" i="36"/>
  <c r="I88" i="36"/>
  <c r="H88" i="36"/>
  <c r="G88" i="36"/>
  <c r="F88" i="36"/>
  <c r="E88" i="36"/>
  <c r="D88" i="36"/>
  <c r="C88" i="36"/>
  <c r="AJ87" i="36"/>
  <c r="AI87" i="36"/>
  <c r="AH87" i="36"/>
  <c r="AG87" i="36"/>
  <c r="AF87" i="36"/>
  <c r="AE87" i="36"/>
  <c r="AD87" i="36"/>
  <c r="AC87" i="36"/>
  <c r="AB87" i="36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AK87" i="36" s="1"/>
  <c r="L87" i="36"/>
  <c r="K87" i="36"/>
  <c r="J87" i="36"/>
  <c r="I87" i="36"/>
  <c r="H87" i="36"/>
  <c r="G87" i="36"/>
  <c r="F87" i="36"/>
  <c r="E87" i="36"/>
  <c r="D87" i="36"/>
  <c r="C87" i="36"/>
  <c r="AK122" i="36"/>
  <c r="AJ122" i="36"/>
  <c r="AI122" i="36"/>
  <c r="AH122" i="36"/>
  <c r="AG122" i="36"/>
  <c r="AF122" i="36"/>
  <c r="AE122" i="36"/>
  <c r="AD122" i="36"/>
  <c r="AC122" i="36"/>
  <c r="AB122" i="36"/>
  <c r="AA122" i="36"/>
  <c r="Z122" i="36"/>
  <c r="Y122" i="36"/>
  <c r="X122" i="36"/>
  <c r="W122" i="36"/>
  <c r="V122" i="36"/>
  <c r="U122" i="36"/>
  <c r="T122" i="36"/>
  <c r="S122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F122" i="36"/>
  <c r="E122" i="36"/>
  <c r="D122" i="36"/>
  <c r="C122" i="36"/>
  <c r="AK119" i="36"/>
  <c r="AK103" i="36"/>
  <c r="AJ82" i="36"/>
  <c r="AI82" i="36"/>
  <c r="AH82" i="36"/>
  <c r="AG82" i="36"/>
  <c r="AF82" i="36"/>
  <c r="AE82" i="36"/>
  <c r="AD82" i="36"/>
  <c r="AC82" i="36"/>
  <c r="AB82" i="36"/>
  <c r="AA82" i="36"/>
  <c r="Z82" i="36"/>
  <c r="Y82" i="36"/>
  <c r="X82" i="36"/>
  <c r="W82" i="36"/>
  <c r="V82" i="36"/>
  <c r="U82" i="36"/>
  <c r="T82" i="36"/>
  <c r="S82" i="36"/>
  <c r="R82" i="36"/>
  <c r="Q82" i="36"/>
  <c r="P82" i="36"/>
  <c r="O82" i="36"/>
  <c r="N82" i="36"/>
  <c r="M82" i="36"/>
  <c r="L82" i="36"/>
  <c r="K82" i="36"/>
  <c r="J82" i="36"/>
  <c r="I82" i="36"/>
  <c r="H82" i="36"/>
  <c r="G82" i="36"/>
  <c r="F82" i="36"/>
  <c r="E82" i="36"/>
  <c r="D82" i="36"/>
  <c r="C82" i="36"/>
  <c r="AK82" i="36" s="1"/>
  <c r="AK80" i="36"/>
  <c r="AK79" i="36"/>
  <c r="AK78" i="36"/>
  <c r="AK77" i="36"/>
  <c r="AK76" i="36"/>
  <c r="AK75" i="36"/>
  <c r="AK74" i="36"/>
  <c r="AK73" i="36"/>
  <c r="AK72" i="36"/>
  <c r="AK71" i="36"/>
  <c r="AK70" i="36"/>
  <c r="AK69" i="36"/>
  <c r="AK68" i="36"/>
  <c r="AK67" i="36"/>
  <c r="AK66" i="36"/>
  <c r="AK65" i="36"/>
  <c r="AK64" i="36"/>
  <c r="AK63" i="36"/>
  <c r="AK62" i="36"/>
  <c r="AK61" i="36"/>
  <c r="AK60" i="36"/>
  <c r="AK59" i="36"/>
  <c r="AK58" i="36"/>
  <c r="AK57" i="36"/>
  <c r="AK56" i="36"/>
  <c r="AK55" i="36"/>
  <c r="AK53" i="36"/>
  <c r="AK52" i="36"/>
  <c r="AK51" i="36"/>
  <c r="AK50" i="36"/>
  <c r="AK49" i="36"/>
  <c r="AK48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D7" i="36"/>
  <c r="E7" i="36"/>
  <c r="F7" i="36"/>
  <c r="G7" i="36"/>
  <c r="H7" i="36"/>
  <c r="I7" i="36"/>
  <c r="J7" i="36"/>
  <c r="K7" i="36"/>
  <c r="L7" i="36"/>
  <c r="L41" i="36" s="1"/>
  <c r="M7" i="36"/>
  <c r="M41" i="36" s="1"/>
  <c r="N7" i="36"/>
  <c r="N41" i="36" s="1"/>
  <c r="O7" i="36"/>
  <c r="O41" i="36" s="1"/>
  <c r="P7" i="36"/>
  <c r="Q7" i="36"/>
  <c r="R7" i="36"/>
  <c r="S7" i="36"/>
  <c r="T7" i="36"/>
  <c r="U7" i="36"/>
  <c r="V7" i="36"/>
  <c r="W7" i="36"/>
  <c r="X7" i="36"/>
  <c r="Y7" i="36"/>
  <c r="Z7" i="36"/>
  <c r="Z41" i="36" s="1"/>
  <c r="AA7" i="36"/>
  <c r="AA41" i="36" s="1"/>
  <c r="AB7" i="36"/>
  <c r="AB41" i="36" s="1"/>
  <c r="AC7" i="36"/>
  <c r="AD7" i="36"/>
  <c r="AE7" i="36"/>
  <c r="AE41" i="36" s="1"/>
  <c r="AF7" i="36"/>
  <c r="AG7" i="36"/>
  <c r="AH7" i="36"/>
  <c r="AH41" i="36" s="1"/>
  <c r="AI7" i="36"/>
  <c r="AJ7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/>
  <c r="Q8" i="36"/>
  <c r="Q41" i="36" s="1"/>
  <c r="R8" i="36"/>
  <c r="S8" i="36"/>
  <c r="T8" i="36"/>
  <c r="U8" i="36"/>
  <c r="V8" i="36"/>
  <c r="W8" i="36"/>
  <c r="X8" i="36"/>
  <c r="Y8" i="36"/>
  <c r="Y41" i="36" s="1"/>
  <c r="Z8" i="36"/>
  <c r="AA8" i="36"/>
  <c r="AB8" i="36"/>
  <c r="AC8" i="36"/>
  <c r="AD8" i="36"/>
  <c r="AE8" i="36"/>
  <c r="AF8" i="36"/>
  <c r="AG8" i="36"/>
  <c r="AG41" i="36" s="1"/>
  <c r="AH8" i="36"/>
  <c r="AI8" i="36"/>
  <c r="AJ8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/>
  <c r="P41" i="36" s="1"/>
  <c r="Q9" i="36"/>
  <c r="R9" i="36"/>
  <c r="S9" i="36"/>
  <c r="T9" i="36"/>
  <c r="U9" i="36"/>
  <c r="V9" i="36"/>
  <c r="W9" i="36"/>
  <c r="X9" i="36"/>
  <c r="Y9" i="36"/>
  <c r="Z9" i="36"/>
  <c r="AA9" i="36"/>
  <c r="AB9" i="36"/>
  <c r="AC9" i="36"/>
  <c r="AC41" i="36" s="1"/>
  <c r="AD9" i="36"/>
  <c r="AE9" i="36"/>
  <c r="AF9" i="36"/>
  <c r="AF41" i="36" s="1"/>
  <c r="AG9" i="36"/>
  <c r="AH9" i="36"/>
  <c r="AI9" i="36"/>
  <c r="AJ9" i="36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U10" i="36"/>
  <c r="V10" i="36"/>
  <c r="W10" i="36"/>
  <c r="W41" i="36" s="1"/>
  <c r="X10" i="36"/>
  <c r="Y10" i="36"/>
  <c r="Z10" i="36"/>
  <c r="AA10" i="36"/>
  <c r="AB10" i="36"/>
  <c r="AC10" i="36"/>
  <c r="AD10" i="36"/>
  <c r="AE10" i="36"/>
  <c r="AF10" i="36"/>
  <c r="AG10" i="36"/>
  <c r="AH10" i="36"/>
  <c r="AI10" i="36"/>
  <c r="AJ10" i="36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U11" i="36"/>
  <c r="V11" i="36"/>
  <c r="W11" i="36"/>
  <c r="X11" i="36"/>
  <c r="Y11" i="36"/>
  <c r="Z11" i="36"/>
  <c r="AA11" i="36"/>
  <c r="AB11" i="36"/>
  <c r="AC11" i="36"/>
  <c r="AD11" i="36"/>
  <c r="AE11" i="36"/>
  <c r="AF11" i="36"/>
  <c r="AG11" i="36"/>
  <c r="AH11" i="36"/>
  <c r="AI11" i="36"/>
  <c r="AJ11" i="36"/>
  <c r="D12" i="36"/>
  <c r="E12" i="36"/>
  <c r="E41" i="36" s="1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V41" i="36" s="1"/>
  <c r="W12" i="36"/>
  <c r="X12" i="36"/>
  <c r="Y12" i="36"/>
  <c r="Z12" i="36"/>
  <c r="AA12" i="36"/>
  <c r="AB12" i="36"/>
  <c r="AC12" i="36"/>
  <c r="AD12" i="36"/>
  <c r="AE12" i="36"/>
  <c r="AF12" i="36"/>
  <c r="AG12" i="36"/>
  <c r="AH12" i="36"/>
  <c r="AI12" i="36"/>
  <c r="AJ12" i="36"/>
  <c r="D13" i="36"/>
  <c r="E13" i="36"/>
  <c r="F13" i="36"/>
  <c r="F41" i="36" s="1"/>
  <c r="G13" i="36"/>
  <c r="G41" i="36" s="1"/>
  <c r="H13" i="36"/>
  <c r="I13" i="36"/>
  <c r="J13" i="36"/>
  <c r="K13" i="36"/>
  <c r="L13" i="36"/>
  <c r="M13" i="36"/>
  <c r="N13" i="36"/>
  <c r="O13" i="36"/>
  <c r="P13" i="36"/>
  <c r="Q13" i="36"/>
  <c r="R13" i="36"/>
  <c r="S13" i="36"/>
  <c r="T13" i="36"/>
  <c r="T41" i="36" s="1"/>
  <c r="U13" i="36"/>
  <c r="V13" i="36"/>
  <c r="W13" i="36"/>
  <c r="X13" i="36"/>
  <c r="Y13" i="36"/>
  <c r="Z13" i="36"/>
  <c r="AA13" i="36"/>
  <c r="AB13" i="36"/>
  <c r="AC13" i="36"/>
  <c r="AD13" i="36"/>
  <c r="AE13" i="36"/>
  <c r="AF13" i="36"/>
  <c r="AG13" i="36"/>
  <c r="AH13" i="36"/>
  <c r="AI13" i="36"/>
  <c r="AJ13" i="36"/>
  <c r="AJ41" i="36" s="1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/>
  <c r="X14" i="36"/>
  <c r="X41" i="36" s="1"/>
  <c r="Y14" i="36"/>
  <c r="Z14" i="36"/>
  <c r="AA14" i="36"/>
  <c r="AB14" i="36"/>
  <c r="AC14" i="36"/>
  <c r="AD14" i="36"/>
  <c r="AE14" i="36"/>
  <c r="AF14" i="36"/>
  <c r="AG14" i="36"/>
  <c r="AH14" i="36"/>
  <c r="AI14" i="36"/>
  <c r="AJ14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AE15" i="36"/>
  <c r="AF15" i="36"/>
  <c r="AG15" i="36"/>
  <c r="AH15" i="36"/>
  <c r="AI15" i="36"/>
  <c r="AI41" i="36" s="1"/>
  <c r="AJ15" i="36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/>
  <c r="Q16" i="36"/>
  <c r="R16" i="36"/>
  <c r="R41" i="36" s="1"/>
  <c r="S16" i="36"/>
  <c r="T16" i="36"/>
  <c r="U16" i="36"/>
  <c r="U41" i="36" s="1"/>
  <c r="V16" i="36"/>
  <c r="W16" i="36"/>
  <c r="X16" i="36"/>
  <c r="Y16" i="36"/>
  <c r="Z16" i="36"/>
  <c r="AA16" i="36"/>
  <c r="AB16" i="36"/>
  <c r="AC16" i="36"/>
  <c r="AD16" i="36"/>
  <c r="AE16" i="36"/>
  <c r="AF16" i="36"/>
  <c r="AG16" i="36"/>
  <c r="AH16" i="36"/>
  <c r="AI16" i="36"/>
  <c r="AJ16" i="36"/>
  <c r="D17" i="36"/>
  <c r="E17" i="36"/>
  <c r="F17" i="36"/>
  <c r="G17" i="36"/>
  <c r="H17" i="36"/>
  <c r="I17" i="36"/>
  <c r="J17" i="36"/>
  <c r="K17" i="36"/>
  <c r="L17" i="36"/>
  <c r="M17" i="36"/>
  <c r="N17" i="36"/>
  <c r="O17" i="36"/>
  <c r="P17" i="36"/>
  <c r="Q17" i="36"/>
  <c r="R17" i="36"/>
  <c r="S17" i="36"/>
  <c r="T17" i="36"/>
  <c r="U17" i="36"/>
  <c r="V17" i="36"/>
  <c r="W17" i="36"/>
  <c r="X17" i="36"/>
  <c r="Y17" i="36"/>
  <c r="Z17" i="36"/>
  <c r="AA17" i="36"/>
  <c r="AB17" i="36"/>
  <c r="AC17" i="36"/>
  <c r="AD17" i="36"/>
  <c r="AE17" i="36"/>
  <c r="AF17" i="36"/>
  <c r="AG17" i="36"/>
  <c r="AH17" i="36"/>
  <c r="AI17" i="36"/>
  <c r="AJ17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/>
  <c r="R18" i="36"/>
  <c r="S18" i="36"/>
  <c r="S41" i="36" s="1"/>
  <c r="T18" i="36"/>
  <c r="U18" i="36"/>
  <c r="V18" i="36"/>
  <c r="W18" i="36"/>
  <c r="X18" i="36"/>
  <c r="Y18" i="36"/>
  <c r="Z18" i="36"/>
  <c r="AA18" i="36"/>
  <c r="AB18" i="36"/>
  <c r="AC18" i="36"/>
  <c r="AD18" i="36"/>
  <c r="AE18" i="36"/>
  <c r="AF18" i="36"/>
  <c r="AG18" i="36"/>
  <c r="AH18" i="36"/>
  <c r="AI18" i="36"/>
  <c r="AJ18" i="36"/>
  <c r="D19" i="36"/>
  <c r="E19" i="36"/>
  <c r="F19" i="36"/>
  <c r="G19" i="36"/>
  <c r="H19" i="36"/>
  <c r="I19" i="36"/>
  <c r="J19" i="36"/>
  <c r="K19" i="36"/>
  <c r="L19" i="36"/>
  <c r="M19" i="36"/>
  <c r="N19" i="36"/>
  <c r="O19" i="36"/>
  <c r="P19" i="36"/>
  <c r="Q19" i="36"/>
  <c r="R19" i="36"/>
  <c r="S19" i="36"/>
  <c r="T19" i="36"/>
  <c r="U19" i="36"/>
  <c r="V19" i="36"/>
  <c r="W19" i="36"/>
  <c r="X19" i="36"/>
  <c r="Y19" i="36"/>
  <c r="Z19" i="36"/>
  <c r="AA19" i="36"/>
  <c r="AB19" i="36"/>
  <c r="AC19" i="36"/>
  <c r="AD19" i="36"/>
  <c r="AE19" i="36"/>
  <c r="AF19" i="36"/>
  <c r="AG19" i="36"/>
  <c r="AH19" i="36"/>
  <c r="AI19" i="36"/>
  <c r="AJ19" i="36"/>
  <c r="D20" i="36"/>
  <c r="E20" i="36"/>
  <c r="F20" i="36"/>
  <c r="G20" i="36"/>
  <c r="H20" i="36"/>
  <c r="I20" i="36"/>
  <c r="J20" i="36"/>
  <c r="K20" i="36"/>
  <c r="L20" i="36"/>
  <c r="M20" i="36"/>
  <c r="N20" i="36"/>
  <c r="O20" i="36"/>
  <c r="P20" i="36"/>
  <c r="Q20" i="36"/>
  <c r="R20" i="36"/>
  <c r="S20" i="36"/>
  <c r="T20" i="36"/>
  <c r="U20" i="36"/>
  <c r="V20" i="36"/>
  <c r="W20" i="36"/>
  <c r="X20" i="36"/>
  <c r="Y20" i="36"/>
  <c r="Z20" i="36"/>
  <c r="AA20" i="36"/>
  <c r="AB20" i="36"/>
  <c r="AC20" i="36"/>
  <c r="AD20" i="36"/>
  <c r="AE20" i="36"/>
  <c r="AF20" i="36"/>
  <c r="AG20" i="36"/>
  <c r="AH20" i="36"/>
  <c r="AI20" i="36"/>
  <c r="AJ20" i="36"/>
  <c r="D21" i="36"/>
  <c r="E21" i="36"/>
  <c r="F21" i="36"/>
  <c r="G21" i="36"/>
  <c r="H21" i="36"/>
  <c r="I21" i="36"/>
  <c r="J21" i="36"/>
  <c r="K21" i="36"/>
  <c r="L21" i="36"/>
  <c r="M21" i="36"/>
  <c r="N21" i="36"/>
  <c r="O21" i="36"/>
  <c r="P21" i="36"/>
  <c r="Q21" i="36"/>
  <c r="R21" i="36"/>
  <c r="S21" i="36"/>
  <c r="T21" i="36"/>
  <c r="U21" i="36"/>
  <c r="V21" i="36"/>
  <c r="W21" i="36"/>
  <c r="X21" i="36"/>
  <c r="Y21" i="36"/>
  <c r="Z21" i="36"/>
  <c r="AA21" i="36"/>
  <c r="AB21" i="36"/>
  <c r="AC21" i="36"/>
  <c r="AD21" i="36"/>
  <c r="AE21" i="36"/>
  <c r="AF21" i="36"/>
  <c r="AG21" i="36"/>
  <c r="AH21" i="36"/>
  <c r="AI21" i="36"/>
  <c r="AJ21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V22" i="36"/>
  <c r="W22" i="36"/>
  <c r="X22" i="36"/>
  <c r="Y22" i="36"/>
  <c r="Z22" i="36"/>
  <c r="AA22" i="36"/>
  <c r="AB22" i="36"/>
  <c r="AC22" i="36"/>
  <c r="AD22" i="36"/>
  <c r="AE22" i="36"/>
  <c r="AF22" i="36"/>
  <c r="AG22" i="36"/>
  <c r="AH22" i="36"/>
  <c r="AI22" i="36"/>
  <c r="AJ22" i="36"/>
  <c r="D23" i="36"/>
  <c r="E23" i="36"/>
  <c r="F23" i="36"/>
  <c r="G23" i="36"/>
  <c r="H23" i="36"/>
  <c r="I23" i="36"/>
  <c r="J23" i="36"/>
  <c r="K23" i="36"/>
  <c r="L23" i="36"/>
  <c r="M23" i="36"/>
  <c r="N23" i="36"/>
  <c r="O23" i="36"/>
  <c r="P23" i="36"/>
  <c r="Q23" i="36"/>
  <c r="R23" i="36"/>
  <c r="S23" i="36"/>
  <c r="T23" i="36"/>
  <c r="U23" i="36"/>
  <c r="V23" i="36"/>
  <c r="W23" i="36"/>
  <c r="X23" i="36"/>
  <c r="Y23" i="36"/>
  <c r="Z23" i="36"/>
  <c r="AA23" i="36"/>
  <c r="AB23" i="36"/>
  <c r="AC23" i="36"/>
  <c r="AD23" i="36"/>
  <c r="AE23" i="36"/>
  <c r="AF23" i="36"/>
  <c r="AG23" i="36"/>
  <c r="AH23" i="36"/>
  <c r="AI23" i="36"/>
  <c r="AJ23" i="36"/>
  <c r="D24" i="36"/>
  <c r="E24" i="36"/>
  <c r="F24" i="36"/>
  <c r="G24" i="36"/>
  <c r="H24" i="36"/>
  <c r="I24" i="36"/>
  <c r="J24" i="36"/>
  <c r="K24" i="36"/>
  <c r="L24" i="36"/>
  <c r="M24" i="36"/>
  <c r="N24" i="36"/>
  <c r="O24" i="36"/>
  <c r="P24" i="36"/>
  <c r="Q24" i="36"/>
  <c r="R24" i="36"/>
  <c r="S24" i="36"/>
  <c r="T24" i="36"/>
  <c r="U24" i="36"/>
  <c r="V24" i="36"/>
  <c r="W24" i="36"/>
  <c r="X24" i="36"/>
  <c r="Y24" i="36"/>
  <c r="Z24" i="36"/>
  <c r="AA24" i="36"/>
  <c r="AB24" i="36"/>
  <c r="AC24" i="36"/>
  <c r="AD24" i="36"/>
  <c r="AE24" i="36"/>
  <c r="AF24" i="36"/>
  <c r="AG24" i="36"/>
  <c r="AH24" i="36"/>
  <c r="AI24" i="36"/>
  <c r="AJ24" i="36"/>
  <c r="D25" i="36"/>
  <c r="E25" i="36"/>
  <c r="F25" i="36"/>
  <c r="G25" i="36"/>
  <c r="H25" i="36"/>
  <c r="I25" i="36"/>
  <c r="J25" i="36"/>
  <c r="K25" i="36"/>
  <c r="L25" i="36"/>
  <c r="M25" i="36"/>
  <c r="N25" i="36"/>
  <c r="O25" i="36"/>
  <c r="P25" i="36"/>
  <c r="Q25" i="36"/>
  <c r="R25" i="36"/>
  <c r="S25" i="36"/>
  <c r="T25" i="36"/>
  <c r="U25" i="36"/>
  <c r="V25" i="36"/>
  <c r="W25" i="36"/>
  <c r="X25" i="36"/>
  <c r="Y25" i="36"/>
  <c r="Z25" i="36"/>
  <c r="AA25" i="36"/>
  <c r="AB25" i="36"/>
  <c r="AC25" i="36"/>
  <c r="AD25" i="36"/>
  <c r="AE25" i="36"/>
  <c r="AF25" i="36"/>
  <c r="AG25" i="36"/>
  <c r="AH25" i="36"/>
  <c r="AI25" i="36"/>
  <c r="AJ25" i="36"/>
  <c r="D26" i="36"/>
  <c r="E26" i="36"/>
  <c r="F26" i="36"/>
  <c r="G26" i="36"/>
  <c r="H26" i="36"/>
  <c r="I26" i="36"/>
  <c r="J26" i="36"/>
  <c r="K26" i="36"/>
  <c r="L26" i="36"/>
  <c r="M26" i="36"/>
  <c r="N26" i="36"/>
  <c r="O26" i="36"/>
  <c r="P26" i="36"/>
  <c r="Q26" i="36"/>
  <c r="R26" i="36"/>
  <c r="S26" i="36"/>
  <c r="T26" i="36"/>
  <c r="U26" i="36"/>
  <c r="V26" i="36"/>
  <c r="W26" i="36"/>
  <c r="X26" i="36"/>
  <c r="Y26" i="36"/>
  <c r="Z26" i="36"/>
  <c r="AA26" i="36"/>
  <c r="AB26" i="36"/>
  <c r="AC26" i="36"/>
  <c r="AD26" i="36"/>
  <c r="AE26" i="36"/>
  <c r="AF26" i="36"/>
  <c r="AG26" i="36"/>
  <c r="AH26" i="36"/>
  <c r="AI26" i="36"/>
  <c r="AJ26" i="36"/>
  <c r="D27" i="36"/>
  <c r="E27" i="36"/>
  <c r="F27" i="36"/>
  <c r="G27" i="36"/>
  <c r="H27" i="36"/>
  <c r="I27" i="36"/>
  <c r="J27" i="36"/>
  <c r="K27" i="36"/>
  <c r="L27" i="36"/>
  <c r="M27" i="36"/>
  <c r="N27" i="36"/>
  <c r="O27" i="36"/>
  <c r="P27" i="36"/>
  <c r="Q27" i="36"/>
  <c r="R27" i="36"/>
  <c r="S27" i="36"/>
  <c r="T27" i="36"/>
  <c r="U27" i="36"/>
  <c r="V27" i="36"/>
  <c r="W27" i="36"/>
  <c r="X27" i="36"/>
  <c r="Y27" i="36"/>
  <c r="Z27" i="36"/>
  <c r="AA27" i="36"/>
  <c r="AB27" i="36"/>
  <c r="AC27" i="36"/>
  <c r="AD27" i="36"/>
  <c r="AE27" i="36"/>
  <c r="AF27" i="36"/>
  <c r="AG27" i="36"/>
  <c r="AH27" i="36"/>
  <c r="AI27" i="36"/>
  <c r="AJ27" i="36"/>
  <c r="D28" i="36"/>
  <c r="E28" i="36"/>
  <c r="F28" i="36"/>
  <c r="G28" i="36"/>
  <c r="H28" i="36"/>
  <c r="I28" i="36"/>
  <c r="J28" i="36"/>
  <c r="K28" i="36"/>
  <c r="L28" i="36"/>
  <c r="M28" i="36"/>
  <c r="N28" i="36"/>
  <c r="O28" i="36"/>
  <c r="P28" i="36"/>
  <c r="Q28" i="36"/>
  <c r="R28" i="36"/>
  <c r="S28" i="36"/>
  <c r="T28" i="36"/>
  <c r="U28" i="36"/>
  <c r="V28" i="36"/>
  <c r="W28" i="36"/>
  <c r="X28" i="36"/>
  <c r="Y28" i="36"/>
  <c r="Z28" i="36"/>
  <c r="AA28" i="36"/>
  <c r="AB28" i="36"/>
  <c r="AC28" i="36"/>
  <c r="AD28" i="36"/>
  <c r="AE28" i="36"/>
  <c r="AF28" i="36"/>
  <c r="AG28" i="36"/>
  <c r="AH28" i="36"/>
  <c r="AI28" i="36"/>
  <c r="AJ28" i="36"/>
  <c r="D29" i="36"/>
  <c r="E29" i="36"/>
  <c r="F29" i="36"/>
  <c r="G29" i="36"/>
  <c r="H29" i="36"/>
  <c r="I29" i="36"/>
  <c r="J29" i="36"/>
  <c r="K29" i="36"/>
  <c r="L29" i="36"/>
  <c r="M29" i="36"/>
  <c r="N29" i="36"/>
  <c r="O29" i="36"/>
  <c r="P29" i="36"/>
  <c r="Q29" i="36"/>
  <c r="R29" i="36"/>
  <c r="S29" i="36"/>
  <c r="T29" i="36"/>
  <c r="U29" i="36"/>
  <c r="V29" i="36"/>
  <c r="W29" i="36"/>
  <c r="X29" i="36"/>
  <c r="Y29" i="36"/>
  <c r="Z29" i="36"/>
  <c r="AA29" i="36"/>
  <c r="AB29" i="36"/>
  <c r="AC29" i="36"/>
  <c r="AD29" i="36"/>
  <c r="AE29" i="36"/>
  <c r="AF29" i="36"/>
  <c r="AG29" i="36"/>
  <c r="AH29" i="36"/>
  <c r="AI29" i="36"/>
  <c r="AJ29" i="36"/>
  <c r="D30" i="36"/>
  <c r="E30" i="36"/>
  <c r="F30" i="36"/>
  <c r="G30" i="36"/>
  <c r="H30" i="36"/>
  <c r="I30" i="36"/>
  <c r="J30" i="36"/>
  <c r="K30" i="36"/>
  <c r="L30" i="36"/>
  <c r="M30" i="36"/>
  <c r="N30" i="36"/>
  <c r="O30" i="36"/>
  <c r="P30" i="36"/>
  <c r="Q30" i="36"/>
  <c r="R30" i="36"/>
  <c r="S30" i="36"/>
  <c r="T30" i="36"/>
  <c r="U30" i="36"/>
  <c r="V30" i="36"/>
  <c r="W30" i="36"/>
  <c r="X30" i="36"/>
  <c r="Y30" i="36"/>
  <c r="Z30" i="36"/>
  <c r="AA30" i="36"/>
  <c r="AB30" i="36"/>
  <c r="AC30" i="36"/>
  <c r="AD30" i="36"/>
  <c r="AE30" i="36"/>
  <c r="AF30" i="36"/>
  <c r="AG30" i="36"/>
  <c r="AH30" i="36"/>
  <c r="AI30" i="36"/>
  <c r="AJ30" i="36"/>
  <c r="D31" i="36"/>
  <c r="E31" i="36"/>
  <c r="F31" i="36"/>
  <c r="G31" i="36"/>
  <c r="H31" i="36"/>
  <c r="I31" i="36"/>
  <c r="J31" i="36"/>
  <c r="K31" i="36"/>
  <c r="L31" i="36"/>
  <c r="M31" i="36"/>
  <c r="N31" i="36"/>
  <c r="O31" i="36"/>
  <c r="P31" i="36"/>
  <c r="Q31" i="36"/>
  <c r="R31" i="36"/>
  <c r="S31" i="36"/>
  <c r="T31" i="36"/>
  <c r="U31" i="36"/>
  <c r="V31" i="36"/>
  <c r="W31" i="36"/>
  <c r="X31" i="36"/>
  <c r="Y31" i="36"/>
  <c r="Z31" i="36"/>
  <c r="AA31" i="36"/>
  <c r="AB31" i="36"/>
  <c r="AC31" i="36"/>
  <c r="AD31" i="36"/>
  <c r="AE31" i="36"/>
  <c r="AF31" i="36"/>
  <c r="AG31" i="36"/>
  <c r="AH31" i="36"/>
  <c r="AI31" i="36"/>
  <c r="AJ31" i="36"/>
  <c r="D32" i="36"/>
  <c r="E32" i="36"/>
  <c r="F32" i="36"/>
  <c r="G32" i="36"/>
  <c r="H32" i="36"/>
  <c r="I32" i="36"/>
  <c r="J32" i="36"/>
  <c r="K32" i="36"/>
  <c r="L32" i="36"/>
  <c r="M32" i="36"/>
  <c r="N32" i="36"/>
  <c r="O32" i="36"/>
  <c r="P32" i="36"/>
  <c r="Q32" i="36"/>
  <c r="R32" i="36"/>
  <c r="S32" i="36"/>
  <c r="T32" i="36"/>
  <c r="U32" i="36"/>
  <c r="V32" i="36"/>
  <c r="W32" i="36"/>
  <c r="X32" i="36"/>
  <c r="Y32" i="36"/>
  <c r="Z32" i="36"/>
  <c r="AA32" i="36"/>
  <c r="AB32" i="36"/>
  <c r="AC32" i="36"/>
  <c r="AD32" i="36"/>
  <c r="AE32" i="36"/>
  <c r="AF32" i="36"/>
  <c r="AG32" i="36"/>
  <c r="AH32" i="36"/>
  <c r="AI32" i="36"/>
  <c r="AJ32" i="36"/>
  <c r="D33" i="36"/>
  <c r="E33" i="36"/>
  <c r="F33" i="36"/>
  <c r="G33" i="36"/>
  <c r="H33" i="36"/>
  <c r="I33" i="36"/>
  <c r="J33" i="36"/>
  <c r="K33" i="36"/>
  <c r="L33" i="36"/>
  <c r="M33" i="36"/>
  <c r="N33" i="36"/>
  <c r="O33" i="36"/>
  <c r="P33" i="36"/>
  <c r="Q33" i="36"/>
  <c r="R33" i="36"/>
  <c r="S33" i="36"/>
  <c r="T33" i="36"/>
  <c r="U33" i="36"/>
  <c r="V33" i="36"/>
  <c r="W33" i="36"/>
  <c r="X33" i="36"/>
  <c r="Y33" i="36"/>
  <c r="Z33" i="36"/>
  <c r="AA33" i="36"/>
  <c r="AB33" i="36"/>
  <c r="AC33" i="36"/>
  <c r="AD33" i="36"/>
  <c r="AE33" i="36"/>
  <c r="AF33" i="36"/>
  <c r="AG33" i="36"/>
  <c r="AH33" i="36"/>
  <c r="AI33" i="36"/>
  <c r="AJ33" i="36"/>
  <c r="D34" i="36"/>
  <c r="E34" i="36"/>
  <c r="F34" i="36"/>
  <c r="G34" i="36"/>
  <c r="H34" i="36"/>
  <c r="I34" i="36"/>
  <c r="J34" i="36"/>
  <c r="K34" i="36"/>
  <c r="L34" i="36"/>
  <c r="M34" i="36"/>
  <c r="N34" i="36"/>
  <c r="O34" i="36"/>
  <c r="P34" i="36"/>
  <c r="Q34" i="36"/>
  <c r="R34" i="36"/>
  <c r="S34" i="36"/>
  <c r="T34" i="36"/>
  <c r="U34" i="36"/>
  <c r="V34" i="36"/>
  <c r="W34" i="36"/>
  <c r="X34" i="36"/>
  <c r="Y34" i="36"/>
  <c r="Z34" i="36"/>
  <c r="AA34" i="36"/>
  <c r="AB34" i="36"/>
  <c r="AC34" i="36"/>
  <c r="AD34" i="36"/>
  <c r="AE34" i="36"/>
  <c r="AF34" i="36"/>
  <c r="AG34" i="36"/>
  <c r="AH34" i="36"/>
  <c r="AI34" i="36"/>
  <c r="AJ34" i="36"/>
  <c r="D35" i="36"/>
  <c r="E35" i="36"/>
  <c r="F35" i="36"/>
  <c r="G35" i="36"/>
  <c r="H35" i="36"/>
  <c r="I35" i="36"/>
  <c r="J35" i="36"/>
  <c r="K35" i="36"/>
  <c r="L35" i="36"/>
  <c r="M35" i="36"/>
  <c r="N35" i="36"/>
  <c r="O35" i="36"/>
  <c r="P35" i="36"/>
  <c r="Q35" i="36"/>
  <c r="R35" i="36"/>
  <c r="S35" i="36"/>
  <c r="T35" i="36"/>
  <c r="U35" i="36"/>
  <c r="V35" i="36"/>
  <c r="W35" i="36"/>
  <c r="X35" i="36"/>
  <c r="Y35" i="36"/>
  <c r="Z35" i="36"/>
  <c r="AA35" i="36"/>
  <c r="AB35" i="36"/>
  <c r="AC35" i="36"/>
  <c r="AD35" i="36"/>
  <c r="AE35" i="36"/>
  <c r="AF35" i="36"/>
  <c r="AG35" i="36"/>
  <c r="AH35" i="36"/>
  <c r="AI35" i="36"/>
  <c r="AJ35" i="36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/>
  <c r="X36" i="36"/>
  <c r="Y36" i="36"/>
  <c r="Z36" i="36"/>
  <c r="AA36" i="36"/>
  <c r="AB36" i="36"/>
  <c r="AC36" i="36"/>
  <c r="AD36" i="36"/>
  <c r="AE36" i="36"/>
  <c r="AF36" i="36"/>
  <c r="AG36" i="36"/>
  <c r="AH36" i="36"/>
  <c r="AI36" i="36"/>
  <c r="AJ36" i="36"/>
  <c r="D37" i="36"/>
  <c r="E37" i="36"/>
  <c r="F37" i="36"/>
  <c r="G37" i="36"/>
  <c r="H37" i="36"/>
  <c r="I37" i="36"/>
  <c r="J37" i="36"/>
  <c r="K37" i="36"/>
  <c r="L37" i="36"/>
  <c r="M37" i="36"/>
  <c r="N37" i="36"/>
  <c r="O37" i="36"/>
  <c r="P37" i="36"/>
  <c r="Q37" i="36"/>
  <c r="R37" i="36"/>
  <c r="S37" i="36"/>
  <c r="T37" i="36"/>
  <c r="U37" i="36"/>
  <c r="V37" i="36"/>
  <c r="W37" i="36"/>
  <c r="X37" i="36"/>
  <c r="Y37" i="36"/>
  <c r="Z37" i="36"/>
  <c r="AA37" i="36"/>
  <c r="AB37" i="36"/>
  <c r="AC37" i="36"/>
  <c r="AD37" i="36"/>
  <c r="AE37" i="36"/>
  <c r="AF37" i="36"/>
  <c r="AG37" i="36"/>
  <c r="AH37" i="36"/>
  <c r="AI37" i="36"/>
  <c r="AJ37" i="36"/>
  <c r="D38" i="36"/>
  <c r="E38" i="36"/>
  <c r="F38" i="36"/>
  <c r="G38" i="36"/>
  <c r="H38" i="36"/>
  <c r="I38" i="36"/>
  <c r="J38" i="36"/>
  <c r="K38" i="36"/>
  <c r="L38" i="36"/>
  <c r="M38" i="36"/>
  <c r="N38" i="36"/>
  <c r="O38" i="36"/>
  <c r="P38" i="36"/>
  <c r="Q38" i="36"/>
  <c r="R38" i="36"/>
  <c r="S38" i="36"/>
  <c r="T38" i="36"/>
  <c r="U38" i="36"/>
  <c r="V38" i="36"/>
  <c r="W38" i="36"/>
  <c r="X38" i="36"/>
  <c r="Y38" i="36"/>
  <c r="Z38" i="36"/>
  <c r="AA38" i="36"/>
  <c r="AB38" i="36"/>
  <c r="AC38" i="36"/>
  <c r="AD38" i="36"/>
  <c r="AE38" i="36"/>
  <c r="AF38" i="36"/>
  <c r="AG38" i="36"/>
  <c r="AH38" i="36"/>
  <c r="AI38" i="36"/>
  <c r="AJ38" i="36"/>
  <c r="D39" i="36"/>
  <c r="E39" i="36"/>
  <c r="F39" i="36"/>
  <c r="G39" i="36"/>
  <c r="H39" i="36"/>
  <c r="I39" i="36"/>
  <c r="J39" i="36"/>
  <c r="K39" i="36"/>
  <c r="L39" i="36"/>
  <c r="M39" i="36"/>
  <c r="N39" i="36"/>
  <c r="O39" i="36"/>
  <c r="P39" i="36"/>
  <c r="Q39" i="36"/>
  <c r="R39" i="36"/>
  <c r="S39" i="36"/>
  <c r="T39" i="36"/>
  <c r="U39" i="36"/>
  <c r="V39" i="36"/>
  <c r="W39" i="36"/>
  <c r="X39" i="36"/>
  <c r="Y39" i="36"/>
  <c r="Z39" i="36"/>
  <c r="AA39" i="36"/>
  <c r="AB39" i="36"/>
  <c r="AC39" i="36"/>
  <c r="AD39" i="36"/>
  <c r="AE39" i="36"/>
  <c r="AF39" i="36"/>
  <c r="AG39" i="36"/>
  <c r="AH39" i="36"/>
  <c r="AI39" i="36"/>
  <c r="AJ39" i="36"/>
  <c r="D40" i="36"/>
  <c r="E40" i="36"/>
  <c r="F40" i="36"/>
  <c r="G40" i="36"/>
  <c r="H40" i="36"/>
  <c r="I40" i="36"/>
  <c r="J40" i="36"/>
  <c r="K40" i="36"/>
  <c r="L40" i="36"/>
  <c r="M40" i="36"/>
  <c r="N40" i="36"/>
  <c r="O40" i="36"/>
  <c r="P40" i="36"/>
  <c r="Q40" i="36"/>
  <c r="R40" i="36"/>
  <c r="S40" i="36"/>
  <c r="T40" i="36"/>
  <c r="U40" i="36"/>
  <c r="V40" i="36"/>
  <c r="W40" i="36"/>
  <c r="X40" i="36"/>
  <c r="Y40" i="36"/>
  <c r="Z40" i="36"/>
  <c r="AA40" i="36"/>
  <c r="AB40" i="36"/>
  <c r="AC40" i="36"/>
  <c r="AD40" i="36"/>
  <c r="AD41" i="36" s="1"/>
  <c r="AE40" i="36"/>
  <c r="AF40" i="36"/>
  <c r="AG40" i="36"/>
  <c r="AH40" i="36"/>
  <c r="AI40" i="36"/>
  <c r="AJ40" i="36"/>
  <c r="C8" i="36"/>
  <c r="C9" i="36"/>
  <c r="C10" i="36"/>
  <c r="C11" i="36"/>
  <c r="C12" i="36"/>
  <c r="C13" i="36"/>
  <c r="C14" i="36"/>
  <c r="C15" i="36"/>
  <c r="C41" i="36" s="1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L7" i="50"/>
  <c r="K8" i="50"/>
  <c r="K9" i="50"/>
  <c r="K10" i="50"/>
  <c r="K11" i="50"/>
  <c r="K12" i="50"/>
  <c r="K13" i="50"/>
  <c r="K14" i="50"/>
  <c r="K15" i="50"/>
  <c r="K16" i="50"/>
  <c r="K17" i="50"/>
  <c r="K18" i="50"/>
  <c r="L19" i="50"/>
  <c r="J19" i="50" s="1"/>
  <c r="I65" i="50" s="1"/>
  <c r="K20" i="50"/>
  <c r="K21" i="50"/>
  <c r="K22" i="50"/>
  <c r="L23" i="50"/>
  <c r="K24" i="50"/>
  <c r="K25" i="50"/>
  <c r="K26" i="50"/>
  <c r="K27" i="50"/>
  <c r="K28" i="50"/>
  <c r="K29" i="50"/>
  <c r="K30" i="50"/>
  <c r="K31" i="50"/>
  <c r="K32" i="50"/>
  <c r="K33" i="50"/>
  <c r="K34" i="50"/>
  <c r="K35" i="50"/>
  <c r="K36" i="50"/>
  <c r="K37" i="50"/>
  <c r="K38" i="50"/>
  <c r="K39" i="50"/>
  <c r="K7" i="50"/>
  <c r="D41" i="36"/>
  <c r="H180" i="50"/>
  <c r="K180" i="50"/>
  <c r="K3" i="50"/>
  <c r="C7" i="36"/>
  <c r="J48" i="49"/>
  <c r="AK48" i="28"/>
  <c r="J14" i="29"/>
  <c r="C105" i="50"/>
  <c r="I13" i="29"/>
  <c r="I14" i="29"/>
  <c r="AR13" i="29"/>
  <c r="AP13" i="29"/>
  <c r="AO13" i="29"/>
  <c r="AN13" i="29"/>
  <c r="AM13" i="29"/>
  <c r="AL13" i="29"/>
  <c r="AL41" i="29" s="1"/>
  <c r="AJ13" i="29"/>
  <c r="AI13" i="29"/>
  <c r="AH13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H13" i="29"/>
  <c r="G13" i="29"/>
  <c r="F13" i="29"/>
  <c r="F41" i="29" s="1"/>
  <c r="E13" i="29"/>
  <c r="D13" i="29"/>
  <c r="C13" i="29"/>
  <c r="I40" i="29"/>
  <c r="I39" i="29"/>
  <c r="I38" i="29"/>
  <c r="I37" i="29"/>
  <c r="I36" i="29"/>
  <c r="I35" i="29"/>
  <c r="AK35" i="29" s="1"/>
  <c r="AT35" i="29" s="1"/>
  <c r="AV35" i="29" s="1"/>
  <c r="I34" i="29"/>
  <c r="I33" i="29"/>
  <c r="AK33" i="29" s="1"/>
  <c r="AT33" i="29" s="1"/>
  <c r="AV33" i="29" s="1"/>
  <c r="I32" i="29"/>
  <c r="AK32" i="29" s="1"/>
  <c r="AT32" i="29" s="1"/>
  <c r="AV32" i="29" s="1"/>
  <c r="I31" i="29"/>
  <c r="I30" i="29"/>
  <c r="I29" i="29"/>
  <c r="I28" i="29"/>
  <c r="AK28" i="29" s="1"/>
  <c r="AT28" i="29" s="1"/>
  <c r="AV28" i="29" s="1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2" i="29"/>
  <c r="I11" i="29"/>
  <c r="I10" i="29"/>
  <c r="I9" i="29"/>
  <c r="I8" i="29"/>
  <c r="I7" i="29"/>
  <c r="AV21" i="29"/>
  <c r="AV22" i="29"/>
  <c r="AV23" i="29"/>
  <c r="AV24" i="29"/>
  <c r="AV37" i="29"/>
  <c r="AV40" i="29"/>
  <c r="AR14" i="29"/>
  <c r="AR41" i="29" s="1"/>
  <c r="AQ14" i="29"/>
  <c r="AP14" i="29"/>
  <c r="AO14" i="29"/>
  <c r="AN14" i="29"/>
  <c r="AM14" i="29"/>
  <c r="AL14" i="29"/>
  <c r="AJ14" i="29"/>
  <c r="AI14" i="29"/>
  <c r="AH14" i="29"/>
  <c r="AG14" i="29"/>
  <c r="AF14" i="29"/>
  <c r="AE14" i="29"/>
  <c r="AD14" i="29"/>
  <c r="AC14" i="29"/>
  <c r="AB14" i="29"/>
  <c r="AA14" i="29"/>
  <c r="Z14" i="29"/>
  <c r="Y14" i="29"/>
  <c r="X14" i="29"/>
  <c r="W14" i="29"/>
  <c r="W41" i="29" s="1"/>
  <c r="V14" i="29"/>
  <c r="U14" i="29"/>
  <c r="T14" i="29"/>
  <c r="S14" i="29"/>
  <c r="R14" i="29"/>
  <c r="Q14" i="29"/>
  <c r="P14" i="29"/>
  <c r="O14" i="29"/>
  <c r="N14" i="29"/>
  <c r="M14" i="29"/>
  <c r="L14" i="29"/>
  <c r="K14" i="29"/>
  <c r="K41" i="29" s="1"/>
  <c r="H14" i="29"/>
  <c r="G14" i="29"/>
  <c r="F14" i="29"/>
  <c r="E14" i="29"/>
  <c r="D14" i="29"/>
  <c r="C14" i="29"/>
  <c r="J40" i="29"/>
  <c r="J39" i="29"/>
  <c r="J38" i="29"/>
  <c r="J37" i="29"/>
  <c r="J36" i="29"/>
  <c r="J35" i="29"/>
  <c r="J34" i="29"/>
  <c r="J33" i="29"/>
  <c r="J32" i="29"/>
  <c r="J31" i="29"/>
  <c r="AK31" i="29" s="1"/>
  <c r="AT31" i="29" s="1"/>
  <c r="AV31" i="29" s="1"/>
  <c r="J30" i="29"/>
  <c r="J29" i="29"/>
  <c r="J28" i="29"/>
  <c r="J27" i="29"/>
  <c r="J26" i="29"/>
  <c r="J25" i="29"/>
  <c r="J24" i="29"/>
  <c r="J23" i="29"/>
  <c r="J22" i="29"/>
  <c r="J21" i="29"/>
  <c r="J20" i="29"/>
  <c r="AK20" i="29" s="1"/>
  <c r="AT20" i="29" s="1"/>
  <c r="AV20" i="29" s="1"/>
  <c r="J19" i="29"/>
  <c r="J18" i="29"/>
  <c r="AK18" i="29" s="1"/>
  <c r="AT18" i="29" s="1"/>
  <c r="AV18" i="29" s="1"/>
  <c r="J17" i="29"/>
  <c r="AK17" i="29" s="1"/>
  <c r="AT17" i="29" s="1"/>
  <c r="AV17" i="29" s="1"/>
  <c r="J16" i="29"/>
  <c r="J15" i="29"/>
  <c r="J12" i="29"/>
  <c r="J11" i="29"/>
  <c r="J10" i="29"/>
  <c r="J9" i="29"/>
  <c r="AK9" i="29" s="1"/>
  <c r="AT9" i="29" s="1"/>
  <c r="AV9" i="29" s="1"/>
  <c r="J8" i="29"/>
  <c r="J7" i="29"/>
  <c r="AK21" i="29"/>
  <c r="AT21" i="29" s="1"/>
  <c r="AK37" i="29"/>
  <c r="AT37" i="29" s="1"/>
  <c r="AT12" i="29"/>
  <c r="AV12" i="29" s="1"/>
  <c r="AS8" i="29"/>
  <c r="AS9" i="29"/>
  <c r="AS10" i="29"/>
  <c r="AS11" i="29"/>
  <c r="AS12" i="29"/>
  <c r="AS13" i="29"/>
  <c r="AS15" i="29"/>
  <c r="AS16" i="29"/>
  <c r="AS17" i="29"/>
  <c r="AS18" i="29"/>
  <c r="AS19" i="29"/>
  <c r="AS20" i="29"/>
  <c r="AS21" i="29"/>
  <c r="AS22" i="29"/>
  <c r="AS23" i="29"/>
  <c r="AS24" i="29"/>
  <c r="AS25" i="29"/>
  <c r="AS26" i="29"/>
  <c r="AS27" i="29"/>
  <c r="AS28" i="29"/>
  <c r="AS29" i="29"/>
  <c r="AS30" i="29"/>
  <c r="AS31" i="29"/>
  <c r="AS32" i="29"/>
  <c r="AS33" i="29"/>
  <c r="AS34" i="29"/>
  <c r="AS35" i="29"/>
  <c r="AS36" i="29"/>
  <c r="AS37" i="29"/>
  <c r="AS38" i="29"/>
  <c r="AS39" i="29"/>
  <c r="AS40" i="29"/>
  <c r="AS7" i="29"/>
  <c r="AK40" i="29"/>
  <c r="AT40" i="29" s="1"/>
  <c r="AK39" i="29"/>
  <c r="AT39" i="29" s="1"/>
  <c r="AV39" i="29" s="1"/>
  <c r="AK38" i="29"/>
  <c r="AT38" i="29" s="1"/>
  <c r="AV38" i="29" s="1"/>
  <c r="AK36" i="29"/>
  <c r="AT36" i="29" s="1"/>
  <c r="AV36" i="29" s="1"/>
  <c r="AK34" i="29"/>
  <c r="AT34" i="29" s="1"/>
  <c r="AV34" i="29" s="1"/>
  <c r="AK24" i="29"/>
  <c r="AT24" i="29" s="1"/>
  <c r="AK23" i="29"/>
  <c r="AT23" i="29" s="1"/>
  <c r="AK22" i="29"/>
  <c r="AT22" i="29" s="1"/>
  <c r="AK15" i="29"/>
  <c r="AT15" i="29" s="1"/>
  <c r="AV15" i="29" s="1"/>
  <c r="AK12" i="29"/>
  <c r="AK11" i="29"/>
  <c r="AT11" i="29" s="1"/>
  <c r="AV11" i="29" s="1"/>
  <c r="AK10" i="29"/>
  <c r="AT10" i="29" s="1"/>
  <c r="AV10" i="29" s="1"/>
  <c r="AK8" i="29"/>
  <c r="AT8" i="29" s="1"/>
  <c r="AV8" i="29" s="1"/>
  <c r="AK7" i="29"/>
  <c r="AT7" i="29" s="1"/>
  <c r="AV7" i="29" s="1"/>
  <c r="AQ41" i="29"/>
  <c r="AP41" i="29"/>
  <c r="AO41" i="29"/>
  <c r="AM41" i="29"/>
  <c r="AJ41" i="29"/>
  <c r="AI41" i="29"/>
  <c r="AH41" i="29"/>
  <c r="AG41" i="29"/>
  <c r="AF41" i="29"/>
  <c r="AE41" i="29"/>
  <c r="AD41" i="29"/>
  <c r="AC41" i="29"/>
  <c r="AB41" i="29"/>
  <c r="T41" i="29"/>
  <c r="S41" i="29"/>
  <c r="R41" i="29"/>
  <c r="Q41" i="29"/>
  <c r="P41" i="29"/>
  <c r="O41" i="29"/>
  <c r="N41" i="29"/>
  <c r="M41" i="29"/>
  <c r="L41" i="29"/>
  <c r="H41" i="29"/>
  <c r="G41" i="29"/>
  <c r="E41" i="29"/>
  <c r="D41" i="29"/>
  <c r="C41" i="29"/>
  <c r="AJ186" i="50"/>
  <c r="AI186" i="50"/>
  <c r="AH186" i="50"/>
  <c r="AG186" i="50"/>
  <c r="AF186" i="50"/>
  <c r="AE186" i="50"/>
  <c r="AD186" i="50"/>
  <c r="AC186" i="50"/>
  <c r="AB186" i="50"/>
  <c r="AA186" i="50"/>
  <c r="Z186" i="50"/>
  <c r="Y186" i="50"/>
  <c r="X186" i="50"/>
  <c r="W186" i="50"/>
  <c r="V186" i="50"/>
  <c r="U186" i="50"/>
  <c r="T186" i="50"/>
  <c r="S186" i="50"/>
  <c r="R186" i="50"/>
  <c r="Q186" i="50"/>
  <c r="P186" i="50"/>
  <c r="O186" i="50"/>
  <c r="N186" i="50"/>
  <c r="M186" i="50"/>
  <c r="L186" i="50"/>
  <c r="K186" i="50"/>
  <c r="H186" i="50"/>
  <c r="G186" i="50"/>
  <c r="F186" i="50"/>
  <c r="E186" i="50"/>
  <c r="D186" i="50"/>
  <c r="AJ185" i="50"/>
  <c r="AI185" i="50"/>
  <c r="AH185" i="50"/>
  <c r="AG185" i="50"/>
  <c r="AF185" i="50"/>
  <c r="AE185" i="50"/>
  <c r="AD185" i="50"/>
  <c r="AC185" i="50"/>
  <c r="AB185" i="50"/>
  <c r="AA185" i="50"/>
  <c r="Z185" i="50"/>
  <c r="Y185" i="50"/>
  <c r="X185" i="50"/>
  <c r="W185" i="50"/>
  <c r="V185" i="50"/>
  <c r="U185" i="50"/>
  <c r="T185" i="50"/>
  <c r="S185" i="50"/>
  <c r="R185" i="50"/>
  <c r="Q185" i="50"/>
  <c r="P185" i="50"/>
  <c r="O185" i="50"/>
  <c r="N185" i="50"/>
  <c r="M185" i="50"/>
  <c r="L185" i="50"/>
  <c r="K185" i="50"/>
  <c r="J185" i="50"/>
  <c r="I185" i="50"/>
  <c r="H185" i="50"/>
  <c r="G185" i="50"/>
  <c r="F185" i="50"/>
  <c r="E185" i="50"/>
  <c r="AK185" i="50" s="1"/>
  <c r="D185" i="50"/>
  <c r="C185" i="50"/>
  <c r="AT179" i="50"/>
  <c r="AT178" i="50"/>
  <c r="AT177" i="50"/>
  <c r="AT176" i="50"/>
  <c r="AT175" i="50"/>
  <c r="AT174" i="50"/>
  <c r="AT173" i="50"/>
  <c r="AT172" i="50"/>
  <c r="AT171" i="50"/>
  <c r="AT170" i="50"/>
  <c r="AT169" i="50"/>
  <c r="AT168" i="50"/>
  <c r="AT167" i="50"/>
  <c r="AT166" i="50"/>
  <c r="AT165" i="50"/>
  <c r="AT164" i="50"/>
  <c r="AT163" i="50"/>
  <c r="AT162" i="50"/>
  <c r="AT161" i="50"/>
  <c r="AT160" i="50"/>
  <c r="AT159" i="50"/>
  <c r="AT158" i="50"/>
  <c r="AT157" i="50"/>
  <c r="AT156" i="50"/>
  <c r="AT155" i="50"/>
  <c r="AT154" i="50"/>
  <c r="AT153" i="50"/>
  <c r="AT151" i="50"/>
  <c r="AT150" i="50"/>
  <c r="AT149" i="50"/>
  <c r="AT148" i="50"/>
  <c r="AT147" i="50"/>
  <c r="AT146" i="50"/>
  <c r="AS179" i="50"/>
  <c r="AS178" i="50"/>
  <c r="AS177" i="50"/>
  <c r="AS176" i="50"/>
  <c r="AS175" i="50"/>
  <c r="AS174" i="50"/>
  <c r="AS173" i="50"/>
  <c r="AS172" i="50"/>
  <c r="AS171" i="50"/>
  <c r="AS170" i="50"/>
  <c r="AS169" i="50"/>
  <c r="AS168" i="50"/>
  <c r="AS167" i="50"/>
  <c r="AS166" i="50"/>
  <c r="AS165" i="50"/>
  <c r="AS164" i="50"/>
  <c r="AS163" i="50"/>
  <c r="AS162" i="50"/>
  <c r="AS161" i="50"/>
  <c r="AS160" i="50"/>
  <c r="AS159" i="50"/>
  <c r="AS158" i="50"/>
  <c r="AS157" i="50"/>
  <c r="AS156" i="50"/>
  <c r="AS155" i="50"/>
  <c r="AS154" i="50"/>
  <c r="AS153" i="50"/>
  <c r="AS152" i="50"/>
  <c r="AS151" i="50"/>
  <c r="AS150" i="50"/>
  <c r="AS149" i="50"/>
  <c r="AS148" i="50"/>
  <c r="AS147" i="50"/>
  <c r="AS146" i="50"/>
  <c r="AK184" i="50"/>
  <c r="AK183" i="50"/>
  <c r="AK182" i="50"/>
  <c r="AK181" i="50"/>
  <c r="AK179" i="50"/>
  <c r="AK178" i="50"/>
  <c r="AK177" i="50"/>
  <c r="AK176" i="50"/>
  <c r="AK175" i="50"/>
  <c r="AK174" i="50"/>
  <c r="AK173" i="50"/>
  <c r="AK172" i="50"/>
  <c r="AK171" i="50"/>
  <c r="AK170" i="50"/>
  <c r="AK169" i="50"/>
  <c r="AK168" i="50"/>
  <c r="AK167" i="50"/>
  <c r="AK166" i="50"/>
  <c r="AK165" i="50"/>
  <c r="AK164" i="50"/>
  <c r="AK163" i="50"/>
  <c r="AK162" i="50"/>
  <c r="AK161" i="50"/>
  <c r="AK160" i="50"/>
  <c r="AK159" i="50"/>
  <c r="AK158" i="50"/>
  <c r="AK157" i="50"/>
  <c r="AK156" i="50"/>
  <c r="AK155" i="50"/>
  <c r="AK154" i="50"/>
  <c r="AK153" i="50"/>
  <c r="AK151" i="50"/>
  <c r="AK150" i="50"/>
  <c r="AK149" i="50"/>
  <c r="AK148" i="50"/>
  <c r="AK147" i="50"/>
  <c r="AK146" i="50"/>
  <c r="AR180" i="50"/>
  <c r="AQ180" i="50"/>
  <c r="AP180" i="50"/>
  <c r="AO180" i="50"/>
  <c r="AN180" i="50"/>
  <c r="AM180" i="50"/>
  <c r="AL180" i="50"/>
  <c r="AJ180" i="50"/>
  <c r="AI180" i="50"/>
  <c r="AH180" i="50"/>
  <c r="AG180" i="50"/>
  <c r="AF180" i="50"/>
  <c r="AE180" i="50"/>
  <c r="AD180" i="50"/>
  <c r="AC180" i="50"/>
  <c r="AB180" i="50"/>
  <c r="AA180" i="50"/>
  <c r="Z180" i="50"/>
  <c r="Y180" i="50"/>
  <c r="X180" i="50"/>
  <c r="W180" i="50"/>
  <c r="V180" i="50"/>
  <c r="U180" i="50"/>
  <c r="T180" i="50"/>
  <c r="S180" i="50"/>
  <c r="R180" i="50"/>
  <c r="Q180" i="50"/>
  <c r="P180" i="50"/>
  <c r="O180" i="50"/>
  <c r="N180" i="50"/>
  <c r="M180" i="50"/>
  <c r="L180" i="50"/>
  <c r="G180" i="50"/>
  <c r="F180" i="50"/>
  <c r="E180" i="50"/>
  <c r="D180" i="50"/>
  <c r="AJ138" i="50"/>
  <c r="AI138" i="50"/>
  <c r="AH138" i="50"/>
  <c r="AG138" i="50"/>
  <c r="AF138" i="50"/>
  <c r="AE138" i="50"/>
  <c r="AD138" i="50"/>
  <c r="AC138" i="50"/>
  <c r="AB138" i="50"/>
  <c r="AA138" i="50"/>
  <c r="Z138" i="50"/>
  <c r="Y138" i="50"/>
  <c r="X138" i="50"/>
  <c r="W138" i="50"/>
  <c r="V138" i="50"/>
  <c r="U138" i="50"/>
  <c r="T138" i="50"/>
  <c r="S138" i="50"/>
  <c r="R138" i="50"/>
  <c r="Q138" i="50"/>
  <c r="P138" i="50"/>
  <c r="O138" i="50"/>
  <c r="N138" i="50"/>
  <c r="M138" i="50"/>
  <c r="L138" i="50"/>
  <c r="K138" i="50"/>
  <c r="H138" i="50"/>
  <c r="G138" i="50"/>
  <c r="F138" i="50"/>
  <c r="E138" i="50"/>
  <c r="D138" i="50"/>
  <c r="C138" i="50"/>
  <c r="AJ137" i="50"/>
  <c r="AI137" i="50"/>
  <c r="AH137" i="50"/>
  <c r="AG137" i="50"/>
  <c r="AF137" i="50"/>
  <c r="AE137" i="50"/>
  <c r="AD137" i="50"/>
  <c r="AC137" i="50"/>
  <c r="AB137" i="50"/>
  <c r="AA137" i="50"/>
  <c r="Z137" i="50"/>
  <c r="Y137" i="50"/>
  <c r="X137" i="50"/>
  <c r="W137" i="50"/>
  <c r="V137" i="50"/>
  <c r="U137" i="50"/>
  <c r="T137" i="50"/>
  <c r="S137" i="50"/>
  <c r="R137" i="50"/>
  <c r="Q137" i="50"/>
  <c r="P137" i="50"/>
  <c r="O137" i="50"/>
  <c r="N137" i="50"/>
  <c r="M137" i="50"/>
  <c r="L137" i="50"/>
  <c r="K137" i="50"/>
  <c r="J137" i="50"/>
  <c r="I137" i="50"/>
  <c r="H137" i="50"/>
  <c r="G137" i="50"/>
  <c r="F137" i="50"/>
  <c r="E137" i="50"/>
  <c r="D137" i="50"/>
  <c r="C137" i="50"/>
  <c r="AS132" i="50"/>
  <c r="AR132" i="50"/>
  <c r="AQ132" i="50"/>
  <c r="AP132" i="50"/>
  <c r="AO132" i="50"/>
  <c r="AN132" i="50"/>
  <c r="AM132" i="50"/>
  <c r="AL132" i="50"/>
  <c r="AJ132" i="50"/>
  <c r="AI132" i="50"/>
  <c r="AH132" i="50"/>
  <c r="AG132" i="50"/>
  <c r="AF132" i="50"/>
  <c r="AE132" i="50"/>
  <c r="AD132" i="50"/>
  <c r="AC132" i="50"/>
  <c r="AB132" i="50"/>
  <c r="AA132" i="50"/>
  <c r="Z132" i="50"/>
  <c r="Y132" i="50"/>
  <c r="X132" i="50"/>
  <c r="W132" i="50"/>
  <c r="V132" i="50"/>
  <c r="U132" i="50"/>
  <c r="T132" i="50"/>
  <c r="S132" i="50"/>
  <c r="R132" i="50"/>
  <c r="Q132" i="50"/>
  <c r="P132" i="50"/>
  <c r="O132" i="50"/>
  <c r="N132" i="50"/>
  <c r="M132" i="50"/>
  <c r="L132" i="50"/>
  <c r="K132" i="50"/>
  <c r="H132" i="50"/>
  <c r="G132" i="50"/>
  <c r="F132" i="50"/>
  <c r="E132" i="50"/>
  <c r="D132" i="50"/>
  <c r="C132" i="50"/>
  <c r="AT131" i="50"/>
  <c r="AT130" i="50"/>
  <c r="AT129" i="50"/>
  <c r="AT128" i="50"/>
  <c r="AT127" i="50"/>
  <c r="AT126" i="50"/>
  <c r="AT125" i="50"/>
  <c r="AT124" i="50"/>
  <c r="AT123" i="50"/>
  <c r="AT122" i="50"/>
  <c r="AT121" i="50"/>
  <c r="AT120" i="50"/>
  <c r="AT119" i="50"/>
  <c r="AT118" i="50"/>
  <c r="AT117" i="50"/>
  <c r="AT116" i="50"/>
  <c r="AT115" i="50"/>
  <c r="AT114" i="50"/>
  <c r="AT113" i="50"/>
  <c r="AT112" i="50"/>
  <c r="AT111" i="50"/>
  <c r="AT110" i="50"/>
  <c r="AT109" i="50"/>
  <c r="AT108" i="50"/>
  <c r="AT107" i="50"/>
  <c r="AT106" i="50"/>
  <c r="AT104" i="50"/>
  <c r="AT103" i="50"/>
  <c r="AT102" i="50"/>
  <c r="AT101" i="50"/>
  <c r="AT100" i="50"/>
  <c r="AT99" i="50"/>
  <c r="AT98" i="50"/>
  <c r="AS131" i="50"/>
  <c r="AS130" i="50"/>
  <c r="AS129" i="50"/>
  <c r="AS128" i="50"/>
  <c r="AS127" i="50"/>
  <c r="AS126" i="50"/>
  <c r="AS125" i="50"/>
  <c r="AS124" i="50"/>
  <c r="AS123" i="50"/>
  <c r="AS122" i="50"/>
  <c r="AS121" i="50"/>
  <c r="AS120" i="50"/>
  <c r="AS119" i="50"/>
  <c r="AS118" i="50"/>
  <c r="AS117" i="50"/>
  <c r="AS116" i="50"/>
  <c r="AS115" i="50"/>
  <c r="AS114" i="50"/>
  <c r="AS113" i="50"/>
  <c r="AS112" i="50"/>
  <c r="AS111" i="50"/>
  <c r="AS110" i="50"/>
  <c r="AS109" i="50"/>
  <c r="AS108" i="50"/>
  <c r="AS107" i="50"/>
  <c r="AS106" i="50"/>
  <c r="AS105" i="50"/>
  <c r="AS104" i="50"/>
  <c r="AS103" i="50"/>
  <c r="AS102" i="50"/>
  <c r="AS101" i="50"/>
  <c r="AS100" i="50"/>
  <c r="AS99" i="50"/>
  <c r="AS98" i="50"/>
  <c r="AK136" i="50"/>
  <c r="AK135" i="50"/>
  <c r="AK134" i="50"/>
  <c r="AK133" i="50"/>
  <c r="AK137" i="50" s="1"/>
  <c r="AP134" i="50" s="1"/>
  <c r="AK131" i="50"/>
  <c r="AK130" i="50"/>
  <c r="AK129" i="50"/>
  <c r="AK128" i="50"/>
  <c r="AK127" i="50"/>
  <c r="AK126" i="50"/>
  <c r="AK125" i="50"/>
  <c r="AK124" i="50"/>
  <c r="AK123" i="50"/>
  <c r="AK122" i="50"/>
  <c r="AK121" i="50"/>
  <c r="AK120" i="50"/>
  <c r="AK119" i="50"/>
  <c r="AK118" i="50"/>
  <c r="AK117" i="50"/>
  <c r="AK116" i="50"/>
  <c r="AK115" i="50"/>
  <c r="AK114" i="50"/>
  <c r="AK113" i="50"/>
  <c r="AK112" i="50"/>
  <c r="AK111" i="50"/>
  <c r="AK110" i="50"/>
  <c r="AK109" i="50"/>
  <c r="AK108" i="50"/>
  <c r="AK107" i="50"/>
  <c r="AK106" i="50"/>
  <c r="AK104" i="50"/>
  <c r="AK103" i="50"/>
  <c r="AK102" i="50"/>
  <c r="AK101" i="50"/>
  <c r="AK100" i="50"/>
  <c r="AK99" i="50"/>
  <c r="AK98" i="50"/>
  <c r="AR152" i="50"/>
  <c r="AQ152" i="50"/>
  <c r="AP152" i="50"/>
  <c r="AO152" i="50"/>
  <c r="AN152" i="50"/>
  <c r="AM152" i="50"/>
  <c r="AL152" i="50"/>
  <c r="AJ152" i="50"/>
  <c r="AI152" i="50"/>
  <c r="AH152" i="50"/>
  <c r="AG152" i="50"/>
  <c r="AF152" i="50"/>
  <c r="AE152" i="50"/>
  <c r="AD152" i="50"/>
  <c r="AC152" i="50"/>
  <c r="AB152" i="50"/>
  <c r="AA152" i="50"/>
  <c r="Z152" i="50"/>
  <c r="Y152" i="50"/>
  <c r="X152" i="50"/>
  <c r="W152" i="50"/>
  <c r="V152" i="50"/>
  <c r="U152" i="50"/>
  <c r="T152" i="50"/>
  <c r="S152" i="50"/>
  <c r="R152" i="50"/>
  <c r="Q152" i="50"/>
  <c r="P152" i="50"/>
  <c r="O152" i="50"/>
  <c r="N152" i="50"/>
  <c r="M152" i="50"/>
  <c r="L152" i="50"/>
  <c r="K152" i="50"/>
  <c r="H152" i="50"/>
  <c r="G152" i="50"/>
  <c r="F152" i="50"/>
  <c r="E152" i="50"/>
  <c r="D152" i="50"/>
  <c r="C152" i="50"/>
  <c r="C180" i="50" s="1"/>
  <c r="C186" i="50" s="1"/>
  <c r="AR105" i="50"/>
  <c r="AQ105" i="50"/>
  <c r="AP105" i="50"/>
  <c r="AO105" i="50"/>
  <c r="AN105" i="50"/>
  <c r="AM105" i="50"/>
  <c r="AL105" i="50"/>
  <c r="AJ105" i="50"/>
  <c r="AI105" i="50"/>
  <c r="AH105" i="50"/>
  <c r="AG105" i="50"/>
  <c r="AF105" i="50"/>
  <c r="AE105" i="50"/>
  <c r="AD105" i="50"/>
  <c r="AC105" i="50"/>
  <c r="AB105" i="50"/>
  <c r="AA105" i="50"/>
  <c r="Z105" i="50"/>
  <c r="Y105" i="50"/>
  <c r="X105" i="50"/>
  <c r="W105" i="50"/>
  <c r="V105" i="50"/>
  <c r="U105" i="50"/>
  <c r="T105" i="50"/>
  <c r="S105" i="50"/>
  <c r="R105" i="50"/>
  <c r="Q105" i="50"/>
  <c r="P105" i="50"/>
  <c r="O105" i="50"/>
  <c r="N105" i="50"/>
  <c r="M105" i="50"/>
  <c r="L105" i="50"/>
  <c r="K105" i="50"/>
  <c r="H105" i="50"/>
  <c r="G105" i="50"/>
  <c r="F105" i="50"/>
  <c r="E105" i="50"/>
  <c r="D105" i="50"/>
  <c r="J87" i="50"/>
  <c r="J88" i="50"/>
  <c r="J89" i="50"/>
  <c r="J90" i="50"/>
  <c r="L45" i="50"/>
  <c r="J91" i="50" s="1"/>
  <c r="J44" i="50"/>
  <c r="I90" i="50" s="1"/>
  <c r="J43" i="50"/>
  <c r="I89" i="50" s="1"/>
  <c r="J42" i="50"/>
  <c r="I88" i="50" s="1"/>
  <c r="J41" i="50"/>
  <c r="I87" i="50" s="1"/>
  <c r="D46" i="48"/>
  <c r="D45" i="48"/>
  <c r="D44" i="48"/>
  <c r="D43" i="48"/>
  <c r="D26" i="48"/>
  <c r="D22" i="48"/>
  <c r="AJ47" i="51"/>
  <c r="K45" i="50"/>
  <c r="AM47" i="50"/>
  <c r="AK7" i="37" l="1"/>
  <c r="AK41" i="37" s="1"/>
  <c r="C41" i="37"/>
  <c r="AK81" i="36"/>
  <c r="AK47" i="36"/>
  <c r="J23" i="50"/>
  <c r="I69" i="50" s="1"/>
  <c r="J69" i="50"/>
  <c r="U41" i="29"/>
  <c r="V41" i="29"/>
  <c r="AA41" i="29"/>
  <c r="Y41" i="29"/>
  <c r="X41" i="29"/>
  <c r="Z41" i="29"/>
  <c r="AK29" i="29"/>
  <c r="AT29" i="29" s="1"/>
  <c r="AV29" i="29" s="1"/>
  <c r="AK30" i="29"/>
  <c r="AT30" i="29" s="1"/>
  <c r="AV30" i="29" s="1"/>
  <c r="AK25" i="29"/>
  <c r="AT25" i="29" s="1"/>
  <c r="AV25" i="29" s="1"/>
  <c r="AK26" i="29"/>
  <c r="AT26" i="29" s="1"/>
  <c r="AV26" i="29" s="1"/>
  <c r="AK27" i="29"/>
  <c r="AT27" i="29" s="1"/>
  <c r="AV27" i="29" s="1"/>
  <c r="AS14" i="29"/>
  <c r="AS41" i="29" s="1"/>
  <c r="AN41" i="29"/>
  <c r="AK14" i="29"/>
  <c r="AK16" i="29"/>
  <c r="AT16" i="29" s="1"/>
  <c r="AV16" i="29" s="1"/>
  <c r="AK19" i="29"/>
  <c r="AT19" i="29" s="1"/>
  <c r="AV19" i="29" s="1"/>
  <c r="AS180" i="50"/>
  <c r="J65" i="50"/>
  <c r="J45" i="50"/>
  <c r="I91" i="50" s="1"/>
  <c r="K41" i="36" l="1"/>
  <c r="H41" i="36"/>
  <c r="AT14" i="29"/>
  <c r="AV14" i="29" s="1"/>
  <c r="AK48" i="49" l="1"/>
  <c r="C48" i="48"/>
  <c r="C43" i="48"/>
  <c r="C49" i="48" l="1"/>
  <c r="C41" i="39" l="1"/>
  <c r="C49" i="37" a="1"/>
  <c r="C49" i="37" s="1"/>
  <c r="C90" i="37" s="1" a="1"/>
  <c r="C90" i="37" s="1"/>
  <c r="AK42" i="36" l="1"/>
  <c r="AK7" i="39"/>
  <c r="I41" i="29" l="1"/>
  <c r="J12" i="50"/>
  <c r="I58" i="50" s="1"/>
  <c r="J16" i="50"/>
  <c r="I62" i="50" s="1"/>
  <c r="L16" i="50"/>
  <c r="J62" i="50"/>
  <c r="L9" i="50"/>
  <c r="J9" i="50" s="1"/>
  <c r="I55" i="50" s="1"/>
  <c r="J55" i="50"/>
  <c r="J29" i="50"/>
  <c r="I75" i="50" s="1"/>
  <c r="J22" i="50"/>
  <c r="I68" i="50" s="1"/>
  <c r="L15" i="50"/>
  <c r="J15" i="50" s="1"/>
  <c r="I61" i="50" s="1"/>
  <c r="J61" i="50"/>
  <c r="L22" i="50"/>
  <c r="J68" i="50" s="1"/>
  <c r="J36" i="50"/>
  <c r="I82" i="50" s="1"/>
  <c r="L20" i="50"/>
  <c r="J20" i="50" s="1"/>
  <c r="I66" i="50" s="1"/>
  <c r="J66" i="50"/>
  <c r="L8" i="50"/>
  <c r="J8" i="50" s="1"/>
  <c r="I54" i="50" s="1"/>
  <c r="J54" i="50"/>
  <c r="L39" i="50"/>
  <c r="J39" i="50" s="1"/>
  <c r="I85" i="50" s="1"/>
  <c r="J34" i="50"/>
  <c r="I80" i="50" s="1"/>
  <c r="J83" i="50"/>
  <c r="L37" i="50"/>
  <c r="J37" i="50" s="1"/>
  <c r="I83" i="50" s="1"/>
  <c r="J18" i="50"/>
  <c r="I64" i="50" s="1"/>
  <c r="L29" i="50"/>
  <c r="J75" i="50" s="1"/>
  <c r="L14" i="50"/>
  <c r="J60" i="50" s="1"/>
  <c r="L33" i="50"/>
  <c r="J79" i="50" s="1"/>
  <c r="J33" i="50"/>
  <c r="I79" i="50" s="1"/>
  <c r="L10" i="50"/>
  <c r="J56" i="50" s="1"/>
  <c r="J10" i="50"/>
  <c r="I56" i="50"/>
  <c r="J74" i="50"/>
  <c r="L25" i="50"/>
  <c r="J71" i="50" s="1"/>
  <c r="L26" i="50"/>
  <c r="J72" i="50" s="1"/>
  <c r="L31" i="50"/>
  <c r="J31" i="50" s="1"/>
  <c r="I77" i="50" s="1"/>
  <c r="L11" i="50"/>
  <c r="J57" i="50" s="1"/>
  <c r="J11" i="50"/>
  <c r="I57" i="50"/>
  <c r="K40" i="50"/>
  <c r="K46" i="50" s="1"/>
  <c r="J38" i="50"/>
  <c r="I84" i="50" s="1"/>
  <c r="L36" i="50"/>
  <c r="J82" i="50" s="1"/>
  <c r="L18" i="50"/>
  <c r="J64" i="50" s="1"/>
  <c r="L35" i="50"/>
  <c r="J81" i="50" s="1"/>
  <c r="J35" i="50"/>
  <c r="I81" i="50" s="1"/>
  <c r="L28" i="50"/>
  <c r="J28" i="50"/>
  <c r="I74" i="50"/>
  <c r="L12" i="50"/>
  <c r="J58" i="50"/>
  <c r="L32" i="50"/>
  <c r="J32" i="50" s="1"/>
  <c r="I78" i="50" s="1"/>
  <c r="J78" i="50"/>
  <c r="L38" i="50"/>
  <c r="J84" i="50"/>
  <c r="L30" i="50"/>
  <c r="J30" i="50" s="1"/>
  <c r="I76" i="50" s="1"/>
  <c r="J76" i="50"/>
  <c r="J53" i="50"/>
  <c r="L40" i="50"/>
  <c r="J86" i="50" s="1"/>
  <c r="L17" i="50"/>
  <c r="J17" i="50" s="1"/>
  <c r="I63" i="50" s="1"/>
  <c r="J63" i="50"/>
  <c r="L27" i="50"/>
  <c r="J73" i="50" s="1"/>
  <c r="L24" i="50"/>
  <c r="J70" i="50" s="1"/>
  <c r="L34" i="50"/>
  <c r="J80" i="50" s="1"/>
  <c r="L13" i="50"/>
  <c r="J59" i="50" s="1"/>
  <c r="J105" i="50" s="1"/>
  <c r="J13" i="50"/>
  <c r="I59" i="50" s="1"/>
  <c r="I105" i="50" s="1"/>
  <c r="L21" i="50"/>
  <c r="J21" i="50" s="1"/>
  <c r="I67" i="50" s="1"/>
  <c r="J67" i="50"/>
  <c r="I132" i="50" l="1"/>
  <c r="I138" i="50" s="1"/>
  <c r="AK105" i="50"/>
  <c r="I152" i="50"/>
  <c r="J152" i="50"/>
  <c r="J132" i="50"/>
  <c r="J138" i="50" s="1"/>
  <c r="J27" i="50"/>
  <c r="I73" i="50" s="1"/>
  <c r="J7" i="50"/>
  <c r="L46" i="50"/>
  <c r="J77" i="50"/>
  <c r="J14" i="50"/>
  <c r="I60" i="50" s="1"/>
  <c r="J26" i="50"/>
  <c r="I72" i="50" s="1"/>
  <c r="J24" i="50"/>
  <c r="I70" i="50" s="1"/>
  <c r="J85" i="50"/>
  <c r="J25" i="50"/>
  <c r="I71" i="50" s="1"/>
  <c r="J92" i="50" l="1"/>
  <c r="J46" i="50"/>
  <c r="I92" i="50" s="1"/>
  <c r="AK152" i="50"/>
  <c r="AT152" i="50" s="1"/>
  <c r="AT180" i="50" s="1"/>
  <c r="I180" i="50"/>
  <c r="J40" i="50"/>
  <c r="I86" i="50" s="1"/>
  <c r="I53" i="50"/>
  <c r="J180" i="50"/>
  <c r="J186" i="50" s="1"/>
  <c r="J13" i="29"/>
  <c r="AK132" i="50"/>
  <c r="AK138" i="50" s="1"/>
  <c r="AT105" i="50"/>
  <c r="AT132" i="50" s="1"/>
  <c r="J41" i="29" l="1"/>
  <c r="AK41" i="29" s="1"/>
  <c r="AK13" i="29"/>
  <c r="AT13" i="29" s="1"/>
  <c r="I186" i="50"/>
  <c r="AK180" i="50"/>
  <c r="AK30" i="36" l="1"/>
  <c r="AK37" i="36"/>
  <c r="AK19" i="36"/>
  <c r="AK36" i="36"/>
  <c r="AK13" i="36"/>
  <c r="AK16" i="36"/>
  <c r="AK25" i="36"/>
  <c r="AK9" i="36"/>
  <c r="AK27" i="36"/>
  <c r="AK22" i="36"/>
  <c r="AK15" i="36"/>
  <c r="AK31" i="36"/>
  <c r="AK34" i="36"/>
  <c r="AK23" i="36"/>
  <c r="AK35" i="36"/>
  <c r="AK10" i="36"/>
  <c r="AK29" i="36"/>
  <c r="AK24" i="36"/>
  <c r="AK18" i="36"/>
  <c r="AK17" i="36"/>
  <c r="AK33" i="36"/>
  <c r="AK12" i="36"/>
  <c r="AK32" i="36"/>
  <c r="AK8" i="36"/>
  <c r="AK28" i="36"/>
  <c r="AK11" i="36"/>
  <c r="AK21" i="36"/>
  <c r="AK39" i="36"/>
  <c r="AK26" i="36"/>
  <c r="AK186" i="50"/>
  <c r="AK20" i="36"/>
  <c r="AK40" i="36"/>
  <c r="AK38" i="36"/>
  <c r="AT41" i="29"/>
  <c r="AV13" i="29"/>
  <c r="J41" i="36"/>
  <c r="I41" i="36" l="1"/>
  <c r="AK41" i="36" s="1"/>
  <c r="AK7" i="36"/>
  <c r="AK7" i="45"/>
  <c r="C41" i="45"/>
  <c r="AK41" i="4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<sst xmlns="http://schemas.openxmlformats.org/spreadsheetml/2006/main" count="3148" uniqueCount="152">
  <si>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</si>
  <si>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</si>
  <si>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</si>
  <si>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</si>
  <si>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</si>
  <si>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</si>
  <si>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</si>
  <si>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</si>
  <si>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</si>
  <si>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</si>
  <si>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</si>
  <si>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</si>
  <si>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</si>
  <si>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</si>
  <si>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</si>
  <si>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</si>
  <si>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정보통신 및 방송 서비스</t>
  </si>
  <si>
    <t>금융 및 보험 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</si>
  <si>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</si>
  <si>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</si>
  <si>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</si>
  <si>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</si>
  <si>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</si>
  <si>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</si>
  <si>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</si>
  <si>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</si>
  <si>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</si>
  <si>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</si>
  <si>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</si>
  <si>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</si>
  <si>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</si>
  <si>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</si>
  <si>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</si>
  <si>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</si>
  <si>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</si>
  <si>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</si>
  <si>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</si>
  <si>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</si>
  <si>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</si>
  <si>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</si>
  <si>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</si>
  <si>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</si>
  <si>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운송서비스</t>
  </si>
  <si>
    <t>전문, 과학 및 기술 서비스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</si>
  <si>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</si>
  <si>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</si>
  <si>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</si>
  <si>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</si>
  <si>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</si>
  <si>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</si>
  <si>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</si>
  <si>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</si>
  <si>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</si>
  <si>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</si>
  <si>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</si>
  <si>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</si>
  <si>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</si>
  <si>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</si>
  <si>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</si>
  <si>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</si>
  <si>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</si>
  <si>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</si>
  <si>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기타 제조업 제품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</si>
  <si>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</si>
  <si>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</si>
  <si>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</si>
  <si>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</si>
  <si>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</si>
  <si>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</si>
  <si>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</si>
  <si>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</si>
  <si>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</si>
  <si>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</si>
  <si>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</si>
  <si>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</si>
  <si>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</si>
  <si>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</si>
  <si>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</si>
  <si>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</si>
  <si>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</si>
  <si>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</si>
  <si>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</si>
  <si>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</si>
  <si>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보건 및 사회복지 서비스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</si>
  <si>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</si>
  <si>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</si>
  <si>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</si>
  <si>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</si>
  <si>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</si>
  <si>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</si>
  <si>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</si>
  <si>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</si>
  <si>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</si>
  <si>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</si>
  <si>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</si>
  <si>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</si>
  <si>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</si>
  <si>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</si>
  <si>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</si>
  <si>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</si>
  <si>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</si>
  <si>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</si>
  <si>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</si>
  <si>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</si>
  <si>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</si>
  <si>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</si>
  <si>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</si>
  <si>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</si>
  <si>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</si>
  <si>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</si>
  <si>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</si>
  <si>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</si>
  <si>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</si>
  <si>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</si>
  <si>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</si>
  <si>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GHG</t>
    <phoneticPr fontId="19" type="noConversion"/>
  </si>
  <si>
    <t>scope1</t>
    <phoneticPr fontId="19" type="noConversion"/>
  </si>
  <si>
    <t>scope2</t>
    <phoneticPr fontId="19" type="noConversion"/>
  </si>
  <si>
    <t>scope3</t>
    <phoneticPr fontId="19" type="noConversion"/>
  </si>
  <si>
    <t>배출계수(tco2eq./백만원)</t>
    <phoneticPr fontId="19" type="noConversion"/>
  </si>
  <si>
    <t>탄소배출량(tco2eq.)</t>
    <phoneticPr fontId="19" type="noConversion"/>
  </si>
  <si>
    <t>Case에 상관없이 해당 업체가 속하는 산업분류를 입력해야됨</t>
    <phoneticPr fontId="19" type="noConversion"/>
  </si>
  <si>
    <t>매출액</t>
    <phoneticPr fontId="19" type="noConversion"/>
  </si>
  <si>
    <t>Case2</t>
    <phoneticPr fontId="19" type="noConversion"/>
  </si>
  <si>
    <t>매출액을 알고 원가의 일부를 알고 있을때</t>
    <phoneticPr fontId="19" type="noConversion"/>
  </si>
  <si>
    <t>원가구조</t>
    <phoneticPr fontId="19" type="noConversion"/>
  </si>
  <si>
    <t>비중(100%)</t>
    <phoneticPr fontId="19" type="noConversion"/>
  </si>
  <si>
    <t>영업이익(영업잉여)</t>
    <phoneticPr fontId="19" type="noConversion"/>
  </si>
  <si>
    <t>감가상각비(고정자본소모)</t>
    <phoneticPr fontId="19" type="noConversion"/>
  </si>
  <si>
    <t>계</t>
    <phoneticPr fontId="19" type="noConversion"/>
  </si>
  <si>
    <t>미기재</t>
    <phoneticPr fontId="19" type="noConversion"/>
  </si>
  <si>
    <t>투입산출표_총거래표(2023년 가격)</t>
    <phoneticPr fontId="19" type="noConversion"/>
  </si>
  <si>
    <t>2023년</t>
    <phoneticPr fontId="19" type="noConversion"/>
  </si>
  <si>
    <t>생산자가격</t>
  </si>
  <si>
    <t>단위 : 백만원</t>
    <phoneticPr fontId="19" type="noConversion"/>
  </si>
  <si>
    <t>기타 제조업제품</t>
  </si>
  <si>
    <t>정보통신 및 방송서비스</t>
  </si>
  <si>
    <t>금융 및 보험서비스</t>
  </si>
  <si>
    <t>보건 및 사회복지서비스</t>
  </si>
  <si>
    <t>채워 넣어야하는 값</t>
    <phoneticPr fontId="19" type="noConversion"/>
  </si>
  <si>
    <t>금액</t>
    <phoneticPr fontId="19" type="noConversion"/>
  </si>
  <si>
    <t>1.투입계수 적용</t>
    <phoneticPr fontId="19" type="noConversion"/>
  </si>
  <si>
    <t>2.총액맞추기</t>
    <phoneticPr fontId="19" type="noConversion"/>
  </si>
  <si>
    <t>3.기존 C05 조정</t>
    <phoneticPr fontId="19" type="noConversion"/>
  </si>
  <si>
    <t>분석업체</t>
    <phoneticPr fontId="19" type="noConversion"/>
  </si>
  <si>
    <t>배분</t>
    <phoneticPr fontId="19" type="noConversion"/>
  </si>
  <si>
    <t>수입비중</t>
    <phoneticPr fontId="19" type="noConversion"/>
  </si>
  <si>
    <t>생산자가격</t>
    <phoneticPr fontId="19" type="noConversion"/>
  </si>
  <si>
    <t>투입산출표_총투입계수표(2023년 가격)</t>
    <phoneticPr fontId="19" type="noConversion"/>
  </si>
  <si>
    <t>생산세(보조금공제)</t>
  </si>
  <si>
    <t>자부문 및 타업종 유발(산업별)</t>
    <phoneticPr fontId="19" type="noConversion"/>
  </si>
  <si>
    <t>배출량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</si>
</sst>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  <numFmt numFmtId="229" formatCode="0.0%"/>
    <numFmt numFmtId="230" formatCode="#,##0.000000_ "/>
    <numFmt numFmtId="231" formatCode="_-* #,##0.000000_-;\-* #,##0.000000_-;_-* &quot;-&quot;_-;_-@_-"/>
    <numFmt numFmtId="232" formatCode="#,##0.000_ "/>
    <numFmt numFmtId="233" formatCode="_-* #,##0.0_-;\-* #,##0.0_-;_-* &quot;-&quot;_-;_-@_-"/>
  </numFmts>
  <fonts count="23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theme="1"/>
      <name val="맑은 고딕"/>
      <family val="3"/>
      <charset val="129"/>
      <scheme val="minor"/>
    </font>
    <font>
      <sz val="13"/>
      <color rgb="FF1F1F1F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316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4" applyNumberFormat="0" applyAlignment="0" applyProtection="0">
      <alignment vertical="center"/>
    </xf>
    <xf numFmtId="180" fontId="59" fillId="52" borderId="14" applyNumberFormat="0" applyAlignment="0" applyProtection="0">
      <alignment vertical="center"/>
    </xf>
    <xf numFmtId="0" fontId="59" fillId="52" borderId="14" applyNumberFormat="0" applyAlignment="0" applyProtection="0">
      <alignment vertical="center"/>
    </xf>
    <xf numFmtId="180" fontId="59" fillId="52" borderId="1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0" fontId="58" fillId="52" borderId="14" applyNumberFormat="0" applyAlignment="0" applyProtection="0">
      <alignment vertical="center"/>
    </xf>
    <xf numFmtId="180" fontId="58" fillId="52" borderId="1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4" applyNumberFormat="0" applyAlignment="0" applyProtection="0">
      <alignment vertical="center"/>
    </xf>
    <xf numFmtId="180" fontId="59" fillId="52" borderId="14" applyNumberFormat="0" applyAlignment="0" applyProtection="0">
      <alignment vertical="center"/>
    </xf>
    <xf numFmtId="0" fontId="59" fillId="52" borderId="14" applyNumberFormat="0" applyAlignment="0" applyProtection="0">
      <alignment vertical="center"/>
    </xf>
    <xf numFmtId="180" fontId="59" fillId="52" borderId="1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4" applyNumberFormat="0" applyAlignment="0" applyProtection="0">
      <alignment vertical="center"/>
    </xf>
    <xf numFmtId="180" fontId="59" fillId="52" borderId="14" applyNumberFormat="0" applyAlignment="0" applyProtection="0">
      <alignment vertical="center"/>
    </xf>
    <xf numFmtId="0" fontId="59" fillId="52" borderId="14" applyNumberFormat="0" applyAlignment="0" applyProtection="0">
      <alignment vertical="center"/>
    </xf>
    <xf numFmtId="180" fontId="59" fillId="52" borderId="1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5" applyNumberFormat="0" applyFont="0" applyAlignment="0" applyProtection="0">
      <alignment vertical="center"/>
    </xf>
    <xf numFmtId="0" fontId="73" fillId="53" borderId="15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5" applyNumberFormat="0" applyFont="0" applyAlignment="0" applyProtection="0">
      <alignment vertical="center"/>
    </xf>
    <xf numFmtId="180" fontId="26" fillId="53" borderId="15" applyNumberFormat="0" applyFont="0" applyAlignment="0" applyProtection="0">
      <alignment vertical="center"/>
    </xf>
    <xf numFmtId="0" fontId="26" fillId="53" borderId="15" applyNumberFormat="0" applyFont="0" applyAlignment="0" applyProtection="0">
      <alignment vertical="center"/>
    </xf>
    <xf numFmtId="180" fontId="26" fillId="53" borderId="15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5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5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5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0" fontId="74" fillId="53" borderId="15" applyNumberFormat="0" applyFont="0" applyAlignment="0" applyProtection="0">
      <alignment vertical="center"/>
    </xf>
    <xf numFmtId="180" fontId="74" fillId="53" borderId="15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5" applyNumberFormat="0" applyFont="0" applyAlignment="0" applyProtection="0">
      <alignment vertical="center"/>
    </xf>
    <xf numFmtId="180" fontId="26" fillId="53" borderId="15" applyNumberFormat="0" applyFont="0" applyAlignment="0" applyProtection="0">
      <alignment vertical="center"/>
    </xf>
    <xf numFmtId="0" fontId="26" fillId="53" borderId="15" applyNumberFormat="0" applyFont="0" applyAlignment="0" applyProtection="0">
      <alignment vertical="center"/>
    </xf>
    <xf numFmtId="180" fontId="26" fillId="53" borderId="15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5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5" applyNumberFormat="0" applyFont="0" applyAlignment="0" applyProtection="0">
      <alignment vertical="center"/>
    </xf>
    <xf numFmtId="0" fontId="26" fillId="53" borderId="15" applyNumberFormat="0" applyFont="0" applyAlignment="0" applyProtection="0">
      <alignment vertical="center"/>
    </xf>
    <xf numFmtId="180" fontId="26" fillId="53" borderId="15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6" applyNumberFormat="0" applyAlignment="0" applyProtection="0">
      <alignment vertical="center"/>
    </xf>
    <xf numFmtId="0" fontId="94" fillId="55" borderId="16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6" applyNumberFormat="0" applyAlignment="0" applyProtection="0">
      <alignment vertical="center"/>
    </xf>
    <xf numFmtId="180" fontId="94" fillId="55" borderId="16" applyNumberFormat="0" applyAlignment="0" applyProtection="0">
      <alignment vertical="center"/>
    </xf>
    <xf numFmtId="0" fontId="94" fillId="55" borderId="16" applyNumberFormat="0" applyAlignment="0" applyProtection="0">
      <alignment vertical="center"/>
    </xf>
    <xf numFmtId="180" fontId="94" fillId="55" borderId="16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6" applyNumberFormat="0" applyAlignment="0" applyProtection="0">
      <alignment vertical="center"/>
    </xf>
    <xf numFmtId="180" fontId="95" fillId="55" borderId="16" applyNumberFormat="0" applyAlignment="0" applyProtection="0">
      <alignment vertical="center"/>
    </xf>
    <xf numFmtId="0" fontId="95" fillId="55" borderId="16" applyNumberFormat="0" applyAlignment="0" applyProtection="0">
      <alignment vertical="center"/>
    </xf>
    <xf numFmtId="180" fontId="95" fillId="55" borderId="16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6" applyNumberFormat="0" applyAlignment="0" applyProtection="0">
      <alignment vertical="center"/>
    </xf>
    <xf numFmtId="180" fontId="95" fillId="55" borderId="16" applyNumberFormat="0" applyAlignment="0" applyProtection="0">
      <alignment vertical="center"/>
    </xf>
    <xf numFmtId="0" fontId="95" fillId="55" borderId="16" applyNumberFormat="0" applyAlignment="0" applyProtection="0">
      <alignment vertical="center"/>
    </xf>
    <xf numFmtId="180" fontId="95" fillId="55" borderId="16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6" applyNumberFormat="0" applyAlignment="0" applyProtection="0">
      <alignment vertical="center"/>
    </xf>
    <xf numFmtId="180" fontId="95" fillId="55" borderId="16" applyNumberFormat="0" applyAlignment="0" applyProtection="0">
      <alignment vertical="center"/>
    </xf>
    <xf numFmtId="0" fontId="95" fillId="55" borderId="16" applyNumberFormat="0" applyAlignment="0" applyProtection="0">
      <alignment vertical="center"/>
    </xf>
    <xf numFmtId="180" fontId="95" fillId="55" borderId="16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7" applyFont="0" applyFill="0" applyBorder="0" applyAlignment="0" applyProtection="0">
      <alignment horizontal="center" vertical="center" wrapText="1"/>
    </xf>
    <xf numFmtId="0" fontId="102" fillId="0" borderId="17" applyFont="0" applyFill="0" applyBorder="0" applyAlignment="0" applyProtection="0">
      <alignment horizontal="center" vertical="center" wrapText="1"/>
    </xf>
    <xf numFmtId="180" fontId="102" fillId="0" borderId="17" applyFont="0" applyFill="0" applyBorder="0" applyAlignment="0" applyProtection="0">
      <alignment horizontal="center" vertical="center" wrapText="1"/>
    </xf>
    <xf numFmtId="0" fontId="102" fillId="0" borderId="17" applyFont="0" applyFill="0" applyBorder="0" applyAlignment="0" applyProtection="0">
      <alignment horizontal="center" vertical="center" wrapText="1"/>
    </xf>
    <xf numFmtId="180" fontId="102" fillId="0" borderId="17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7" applyFont="0" applyFill="0" applyBorder="0" applyAlignment="0" applyProtection="0">
      <alignment horizontal="center" vertical="center" wrapText="1"/>
    </xf>
    <xf numFmtId="0" fontId="102" fillId="0" borderId="17" applyFont="0" applyFill="0" applyBorder="0" applyAlignment="0" applyProtection="0">
      <alignment horizontal="center" vertical="center" wrapText="1"/>
    </xf>
    <xf numFmtId="180" fontId="102" fillId="0" borderId="17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18"/>
    <xf numFmtId="180" fontId="103" fillId="0" borderId="18"/>
    <xf numFmtId="0" fontId="103" fillId="0" borderId="18"/>
    <xf numFmtId="180" fontId="103" fillId="0" borderId="18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180" fontId="106" fillId="0" borderId="19" applyNumberFormat="0" applyFill="0" applyAlignment="0" applyProtection="0">
      <alignment vertical="center"/>
    </xf>
    <xf numFmtId="0" fontId="106" fillId="0" borderId="19" applyNumberFormat="0" applyFill="0" applyAlignment="0" applyProtection="0">
      <alignment vertical="center"/>
    </xf>
    <xf numFmtId="180" fontId="106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19" applyNumberFormat="0" applyFill="0" applyAlignment="0" applyProtection="0">
      <alignment vertical="center"/>
    </xf>
    <xf numFmtId="180" fontId="107" fillId="0" borderId="19" applyNumberFormat="0" applyFill="0" applyAlignment="0" applyProtection="0">
      <alignment vertical="center"/>
    </xf>
    <xf numFmtId="0" fontId="107" fillId="0" borderId="19" applyNumberFormat="0" applyFill="0" applyAlignment="0" applyProtection="0">
      <alignment vertical="center"/>
    </xf>
    <xf numFmtId="180" fontId="107" fillId="0" borderId="19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19" applyNumberFormat="0" applyFill="0" applyAlignment="0" applyProtection="0">
      <alignment vertical="center"/>
    </xf>
    <xf numFmtId="180" fontId="107" fillId="0" borderId="19" applyNumberFormat="0" applyFill="0" applyAlignment="0" applyProtection="0">
      <alignment vertical="center"/>
    </xf>
    <xf numFmtId="0" fontId="107" fillId="0" borderId="19" applyNumberFormat="0" applyFill="0" applyAlignment="0" applyProtection="0">
      <alignment vertical="center"/>
    </xf>
    <xf numFmtId="180" fontId="107" fillId="0" borderId="19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19" applyNumberFormat="0" applyFill="0" applyAlignment="0" applyProtection="0">
      <alignment vertical="center"/>
    </xf>
    <xf numFmtId="180" fontId="107" fillId="0" borderId="19" applyNumberFormat="0" applyFill="0" applyAlignment="0" applyProtection="0">
      <alignment vertical="center"/>
    </xf>
    <xf numFmtId="0" fontId="107" fillId="0" borderId="19" applyNumberFormat="0" applyFill="0" applyAlignment="0" applyProtection="0">
      <alignment vertical="center"/>
    </xf>
    <xf numFmtId="180" fontId="107" fillId="0" borderId="19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180" fontId="112" fillId="0" borderId="20" applyNumberFormat="0" applyFill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180" fontId="112" fillId="0" borderId="20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180" fontId="111" fillId="0" borderId="20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180" fontId="112" fillId="0" borderId="20" applyNumberFormat="0" applyFill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180" fontId="112" fillId="0" borderId="20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180" fontId="112" fillId="0" borderId="20" applyNumberFormat="0" applyFill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180" fontId="112" fillId="0" borderId="20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4" applyNumberFormat="0" applyAlignment="0" applyProtection="0">
      <alignment vertical="center"/>
    </xf>
    <xf numFmtId="180" fontId="118" fillId="39" borderId="14" applyNumberFormat="0" applyAlignment="0" applyProtection="0">
      <alignment vertical="center"/>
    </xf>
    <xf numFmtId="0" fontId="118" fillId="39" borderId="14" applyNumberFormat="0" applyAlignment="0" applyProtection="0">
      <alignment vertical="center"/>
    </xf>
    <xf numFmtId="180" fontId="118" fillId="39" borderId="1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0" fontId="117" fillId="39" borderId="14" applyNumberFormat="0" applyAlignment="0" applyProtection="0">
      <alignment vertical="center"/>
    </xf>
    <xf numFmtId="180" fontId="117" fillId="39" borderId="1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4" applyNumberFormat="0" applyAlignment="0" applyProtection="0">
      <alignment vertical="center"/>
    </xf>
    <xf numFmtId="180" fontId="118" fillId="39" borderId="14" applyNumberFormat="0" applyAlignment="0" applyProtection="0">
      <alignment vertical="center"/>
    </xf>
    <xf numFmtId="0" fontId="118" fillId="39" borderId="14" applyNumberFormat="0" applyAlignment="0" applyProtection="0">
      <alignment vertical="center"/>
    </xf>
    <xf numFmtId="180" fontId="118" fillId="39" borderId="1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4" applyNumberFormat="0" applyAlignment="0" applyProtection="0">
      <alignment vertical="center"/>
    </xf>
    <xf numFmtId="180" fontId="118" fillId="39" borderId="14" applyNumberFormat="0" applyAlignment="0" applyProtection="0">
      <alignment vertical="center"/>
    </xf>
    <xf numFmtId="0" fontId="118" fillId="39" borderId="14" applyNumberFormat="0" applyAlignment="0" applyProtection="0">
      <alignment vertical="center"/>
    </xf>
    <xf numFmtId="180" fontId="118" fillId="39" borderId="1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1" applyNumberFormat="0" applyFill="0" applyAlignment="0" applyProtection="0">
      <alignment vertical="center"/>
    </xf>
    <xf numFmtId="0" fontId="122" fillId="0" borderId="2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1" applyNumberFormat="0" applyFill="0" applyAlignment="0" applyProtection="0">
      <alignment vertical="center"/>
    </xf>
    <xf numFmtId="180" fontId="122" fillId="0" borderId="21" applyNumberFormat="0" applyFill="0" applyAlignment="0" applyProtection="0">
      <alignment vertical="center"/>
    </xf>
    <xf numFmtId="0" fontId="122" fillId="0" borderId="21" applyNumberFormat="0" applyFill="0" applyAlignment="0" applyProtection="0">
      <alignment vertical="center"/>
    </xf>
    <xf numFmtId="180" fontId="122" fillId="0" borderId="2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180" fontId="123" fillId="0" borderId="21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180" fontId="123" fillId="0" borderId="2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180" fontId="123" fillId="0" borderId="21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180" fontId="123" fillId="0" borderId="2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180" fontId="123" fillId="0" borderId="21" applyNumberFormat="0" applyFill="0" applyAlignment="0" applyProtection="0">
      <alignment vertical="center"/>
    </xf>
    <xf numFmtId="0" fontId="123" fillId="0" borderId="21" applyNumberFormat="0" applyFill="0" applyAlignment="0" applyProtection="0">
      <alignment vertical="center"/>
    </xf>
    <xf numFmtId="180" fontId="123" fillId="0" borderId="2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2" applyNumberFormat="0" applyFill="0" applyAlignment="0" applyProtection="0">
      <alignment vertical="center"/>
    </xf>
    <xf numFmtId="0" fontId="127" fillId="0" borderId="2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2" applyNumberFormat="0" applyFill="0" applyAlignment="0" applyProtection="0">
      <alignment vertical="center"/>
    </xf>
    <xf numFmtId="180" fontId="127" fillId="0" borderId="22" applyNumberFormat="0" applyFill="0" applyAlignment="0" applyProtection="0">
      <alignment vertical="center"/>
    </xf>
    <xf numFmtId="0" fontId="127" fillId="0" borderId="22" applyNumberFormat="0" applyFill="0" applyAlignment="0" applyProtection="0">
      <alignment vertical="center"/>
    </xf>
    <xf numFmtId="180" fontId="127" fillId="0" borderId="2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2" applyNumberFormat="0" applyFill="0" applyAlignment="0" applyProtection="0">
      <alignment vertical="center"/>
    </xf>
    <xf numFmtId="180" fontId="128" fillId="0" borderId="22" applyNumberFormat="0" applyFill="0" applyAlignment="0" applyProtection="0">
      <alignment vertical="center"/>
    </xf>
    <xf numFmtId="0" fontId="128" fillId="0" borderId="22" applyNumberFormat="0" applyFill="0" applyAlignment="0" applyProtection="0">
      <alignment vertical="center"/>
    </xf>
    <xf numFmtId="180" fontId="128" fillId="0" borderId="2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2" applyNumberFormat="0" applyFill="0" applyAlignment="0" applyProtection="0">
      <alignment vertical="center"/>
    </xf>
    <xf numFmtId="180" fontId="128" fillId="0" borderId="22" applyNumberFormat="0" applyFill="0" applyAlignment="0" applyProtection="0">
      <alignment vertical="center"/>
    </xf>
    <xf numFmtId="0" fontId="128" fillId="0" borderId="22" applyNumberFormat="0" applyFill="0" applyAlignment="0" applyProtection="0">
      <alignment vertical="center"/>
    </xf>
    <xf numFmtId="180" fontId="128" fillId="0" borderId="2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2" applyNumberFormat="0" applyFill="0" applyAlignment="0" applyProtection="0">
      <alignment vertical="center"/>
    </xf>
    <xf numFmtId="180" fontId="128" fillId="0" borderId="22" applyNumberFormat="0" applyFill="0" applyAlignment="0" applyProtection="0">
      <alignment vertical="center"/>
    </xf>
    <xf numFmtId="0" fontId="128" fillId="0" borderId="22" applyNumberFormat="0" applyFill="0" applyAlignment="0" applyProtection="0">
      <alignment vertical="center"/>
    </xf>
    <xf numFmtId="180" fontId="128" fillId="0" borderId="2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180" fontId="132" fillId="0" borderId="2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180" fontId="132" fillId="0" borderId="2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180" fontId="133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180" fontId="133" fillId="0" borderId="2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180" fontId="133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180" fontId="133" fillId="0" borderId="2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180" fontId="133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180" fontId="133" fillId="0" borderId="2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4" applyNumberFormat="0" applyAlignment="0" applyProtection="0">
      <alignment vertical="center"/>
    </xf>
    <xf numFmtId="180" fontId="146" fillId="52" borderId="24" applyNumberFormat="0" applyAlignment="0" applyProtection="0">
      <alignment vertical="center"/>
    </xf>
    <xf numFmtId="0" fontId="146" fillId="52" borderId="24" applyNumberFormat="0" applyAlignment="0" applyProtection="0">
      <alignment vertical="center"/>
    </xf>
    <xf numFmtId="180" fontId="146" fillId="52" borderId="24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0" fontId="145" fillId="52" borderId="24" applyNumberFormat="0" applyAlignment="0" applyProtection="0">
      <alignment vertical="center"/>
    </xf>
    <xf numFmtId="180" fontId="145" fillId="52" borderId="24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4" applyNumberFormat="0" applyAlignment="0" applyProtection="0">
      <alignment vertical="center"/>
    </xf>
    <xf numFmtId="180" fontId="146" fillId="52" borderId="24" applyNumberFormat="0" applyAlignment="0" applyProtection="0">
      <alignment vertical="center"/>
    </xf>
    <xf numFmtId="0" fontId="146" fillId="52" borderId="24" applyNumberFormat="0" applyAlignment="0" applyProtection="0">
      <alignment vertical="center"/>
    </xf>
    <xf numFmtId="180" fontId="146" fillId="52" borderId="24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4" applyNumberFormat="0" applyAlignment="0" applyProtection="0">
      <alignment vertical="center"/>
    </xf>
    <xf numFmtId="180" fontId="146" fillId="52" borderId="24" applyNumberFormat="0" applyAlignment="0" applyProtection="0">
      <alignment vertical="center"/>
    </xf>
    <xf numFmtId="0" fontId="146" fillId="52" borderId="24" applyNumberFormat="0" applyAlignment="0" applyProtection="0">
      <alignment vertical="center"/>
    </xf>
    <xf numFmtId="180" fontId="146" fillId="52" borderId="24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7">
      <alignment horizontal="center"/>
    </xf>
    <xf numFmtId="180" fontId="150" fillId="0" borderId="17">
      <alignment horizontal="center"/>
    </xf>
    <xf numFmtId="0" fontId="150" fillId="0" borderId="17">
      <alignment horizontal="center"/>
    </xf>
    <xf numFmtId="180" fontId="150" fillId="0" borderId="17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5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6" applyNumberFormat="0" applyFont="0" applyFill="0" applyAlignment="0" applyProtection="0"/>
    <xf numFmtId="180" fontId="61" fillId="0" borderId="26" applyNumberFormat="0" applyFont="0" applyFill="0" applyAlignment="0" applyProtection="0"/>
    <xf numFmtId="0" fontId="61" fillId="0" borderId="26" applyNumberFormat="0" applyFont="0" applyFill="0" applyAlignment="0" applyProtection="0"/>
    <xf numFmtId="180" fontId="61" fillId="0" borderId="26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5">
      <alignment horizontal="center" vertical="center"/>
    </xf>
    <xf numFmtId="180" fontId="181" fillId="56" borderId="25">
      <alignment horizontal="center" vertical="center"/>
    </xf>
    <xf numFmtId="0" fontId="181" fillId="56" borderId="25">
      <alignment horizontal="center" vertical="center"/>
    </xf>
    <xf numFmtId="180" fontId="181" fillId="56" borderId="25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7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28"/>
    <xf numFmtId="180" fontId="201" fillId="0" borderId="28"/>
    <xf numFmtId="0" fontId="201" fillId="0" borderId="28"/>
    <xf numFmtId="180" fontId="201" fillId="0" borderId="28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28"/>
    <xf numFmtId="180" fontId="201" fillId="0" borderId="28"/>
    <xf numFmtId="0" fontId="201" fillId="0" borderId="28"/>
    <xf numFmtId="180" fontId="201" fillId="0" borderId="28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29" applyNumberFormat="0" applyAlignment="0" applyProtection="0">
      <alignment horizontal="left" vertical="center"/>
    </xf>
    <xf numFmtId="180" fontId="211" fillId="0" borderId="29" applyNumberFormat="0" applyAlignment="0" applyProtection="0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180" fontId="211" fillId="0" borderId="13">
      <alignment horizontal="left" vertical="center"/>
    </xf>
    <xf numFmtId="0" fontId="211" fillId="0" borderId="13">
      <alignment horizontal="left" vertical="center"/>
    </xf>
    <xf numFmtId="180" fontId="211" fillId="0" borderId="13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7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0"/>
    <xf numFmtId="180" fontId="216" fillId="0" borderId="30"/>
    <xf numFmtId="0" fontId="216" fillId="0" borderId="30"/>
    <xf numFmtId="180" fontId="216" fillId="0" borderId="30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0">
      <alignment horizontal="center"/>
    </xf>
    <xf numFmtId="180" fontId="224" fillId="0" borderId="30">
      <alignment horizontal="center"/>
    </xf>
    <xf numFmtId="0" fontId="224" fillId="0" borderId="30">
      <alignment horizontal="center"/>
    </xf>
    <xf numFmtId="180" fontId="224" fillId="0" borderId="30">
      <alignment horizontal="center"/>
    </xf>
    <xf numFmtId="0" fontId="225" fillId="59" borderId="25">
      <alignment horizontal="center" vertical="center"/>
    </xf>
    <xf numFmtId="180" fontId="225" fillId="59" borderId="25">
      <alignment horizontal="center" vertical="center"/>
    </xf>
    <xf numFmtId="0" fontId="225" fillId="59" borderId="25">
      <alignment horizontal="center" vertical="center"/>
    </xf>
    <xf numFmtId="180" fontId="225" fillId="59" borderId="25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6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1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2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6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3" xfId="0" applyFont="1" applyFill="1" applyBorder="1">
      <alignment vertical="center"/>
    </xf>
    <xf numFmtId="0" fontId="21" fillId="0" borderId="36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5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0" borderId="36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6" xfId="0" quotePrefix="1" applyFont="1" applyFill="1" applyBorder="1" applyAlignment="1">
      <alignment horizontal="left" vertical="center"/>
    </xf>
    <xf numFmtId="0" fontId="22" fillId="0" borderId="36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49" fontId="21" fillId="33" borderId="37" xfId="0" applyNumberFormat="1" applyFont="1" applyFill="1" applyBorder="1" applyAlignment="1">
      <alignment horizontal="left" vertical="center"/>
    </xf>
    <xf numFmtId="49" fontId="21" fillId="0" borderId="36" xfId="0" applyNumberFormat="1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3" xfId="0" applyFont="1" applyFill="1" applyBorder="1" applyAlignment="1">
      <alignment horizontal="left" vertical="center"/>
    </xf>
    <xf numFmtId="228" fontId="21" fillId="33" borderId="13" xfId="1" applyNumberFormat="1" applyFont="1" applyFill="1" applyBorder="1">
      <alignment vertical="center"/>
    </xf>
    <xf numFmtId="228" fontId="21" fillId="33" borderId="33" xfId="1" applyNumberFormat="1" applyFont="1" applyFill="1" applyBorder="1">
      <alignment vertical="center"/>
    </xf>
    <xf numFmtId="228" fontId="21" fillId="0" borderId="25" xfId="1" applyNumberFormat="1" applyFont="1" applyBorder="1" applyAlignment="1"/>
    <xf numFmtId="49" fontId="21" fillId="33" borderId="43" xfId="0" applyNumberFormat="1" applyFont="1" applyFill="1" applyBorder="1" applyAlignment="1">
      <alignment horizontal="left" vertical="center"/>
    </xf>
    <xf numFmtId="49" fontId="21" fillId="0" borderId="25" xfId="0" applyNumberFormat="1" applyFont="1" applyFill="1" applyBorder="1" applyAlignment="1">
      <alignment horizontal="left" vertical="center"/>
    </xf>
    <xf numFmtId="0" fontId="21" fillId="33" borderId="34" xfId="0" applyFont="1" applyFill="1" applyBorder="1" applyAlignment="1">
      <alignment horizontal="left" vertical="center"/>
    </xf>
    <xf numFmtId="0" fontId="21" fillId="33" borderId="42" xfId="0" applyFont="1" applyFill="1" applyBorder="1" applyAlignment="1">
      <alignment horizontal="left" vertical="center"/>
    </xf>
    <xf numFmtId="0" fontId="18" fillId="0" borderId="25" xfId="0" quotePrefix="1" applyFont="1" applyFill="1" applyBorder="1" applyAlignment="1">
      <alignment horizontal="left" vertical="center"/>
    </xf>
    <xf numFmtId="228" fontId="18" fillId="33" borderId="13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14" fontId="18" fillId="62" borderId="0" xfId="0" applyNumberFormat="1" applyFont="1" applyFill="1" applyBorder="1">
      <alignment vertical="center"/>
    </xf>
    <xf numFmtId="0" fontId="18" fillId="62" borderId="0" xfId="0" applyFont="1" applyFill="1" applyAlignment="1"/>
    <xf numFmtId="0" fontId="18" fillId="62" borderId="0" xfId="0" applyFont="1" applyFill="1" applyBorder="1">
      <alignment vertical="center"/>
    </xf>
    <xf numFmtId="41" fontId="21" fillId="62" borderId="0" xfId="1" applyFont="1" applyFill="1" applyBorder="1">
      <alignment vertical="center"/>
    </xf>
    <xf numFmtId="49" fontId="21" fillId="62" borderId="36" xfId="0" applyNumberFormat="1" applyFont="1" applyFill="1" applyBorder="1" applyAlignment="1">
      <alignment horizontal="left" vertical="center"/>
    </xf>
    <xf numFmtId="0" fontId="21" fillId="62" borderId="0" xfId="0" applyFont="1" applyFill="1" applyBorder="1" applyAlignment="1">
      <alignment horizontal="left" vertical="center"/>
    </xf>
    <xf numFmtId="228" fontId="21" fillId="62" borderId="0" xfId="1" applyNumberFormat="1" applyFont="1" applyFill="1" applyAlignment="1"/>
    <xf numFmtId="228" fontId="21" fillId="62" borderId="13" xfId="1" applyNumberFormat="1" applyFont="1" applyFill="1" applyBorder="1">
      <alignment vertical="center"/>
    </xf>
    <xf numFmtId="41" fontId="21" fillId="0" borderId="0" xfId="1" applyFont="1" applyBorder="1" applyAlignment="1"/>
    <xf numFmtId="229" fontId="21" fillId="0" borderId="0" xfId="33162" applyNumberFormat="1" applyFont="1" applyFill="1" applyBorder="1">
      <alignment vertical="center"/>
    </xf>
    <xf numFmtId="230" fontId="21" fillId="0" borderId="0" xfId="1" applyNumberFormat="1" applyFont="1" applyBorder="1" applyAlignment="1"/>
    <xf numFmtId="231" fontId="21" fillId="0" borderId="0" xfId="1" applyNumberFormat="1" applyFont="1" applyBorder="1" applyAlignment="1"/>
    <xf numFmtId="231" fontId="21" fillId="33" borderId="10" xfId="1" applyNumberFormat="1" applyFont="1" applyFill="1" applyBorder="1">
      <alignment vertical="center"/>
    </xf>
    <xf numFmtId="41" fontId="21" fillId="33" borderId="10" xfId="1" applyFont="1" applyFill="1" applyBorder="1">
      <alignment vertical="center"/>
    </xf>
    <xf numFmtId="49" fontId="21" fillId="63" borderId="25" xfId="0" applyNumberFormat="1" applyFont="1" applyFill="1" applyBorder="1" applyAlignment="1">
      <alignment horizontal="left" vertical="center"/>
    </xf>
    <xf numFmtId="0" fontId="21" fillId="63" borderId="0" xfId="0" applyFont="1" applyFill="1" applyBorder="1">
      <alignment vertical="center"/>
    </xf>
    <xf numFmtId="0" fontId="18" fillId="63" borderId="0" xfId="0" applyFont="1" applyFill="1" applyBorder="1">
      <alignment vertical="center"/>
    </xf>
    <xf numFmtId="41" fontId="21" fillId="63" borderId="0" xfId="1" applyFont="1" applyFill="1" applyBorder="1" applyAlignment="1"/>
    <xf numFmtId="0" fontId="18" fillId="0" borderId="0" xfId="0" applyFont="1">
      <alignment vertical="center"/>
    </xf>
    <xf numFmtId="49" fontId="21" fillId="0" borderId="25" xfId="0" applyNumberFormat="1" applyFont="1" applyBorder="1" applyAlignment="1">
      <alignment horizontal="left" vertical="center"/>
    </xf>
    <xf numFmtId="228" fontId="18" fillId="0" borderId="0" xfId="0" applyNumberFormat="1" applyFont="1">
      <alignment vertical="center"/>
    </xf>
    <xf numFmtId="228" fontId="18" fillId="0" borderId="0" xfId="1" applyNumberFormat="1" applyFont="1" applyFill="1" applyBorder="1">
      <alignment vertical="center"/>
    </xf>
    <xf numFmtId="228" fontId="18" fillId="0" borderId="0" xfId="0" quotePrefix="1" applyNumberFormat="1" applyFont="1">
      <alignment vertical="center"/>
    </xf>
    <xf numFmtId="228" fontId="234" fillId="0" borderId="0" xfId="1" applyNumberFormat="1" applyFont="1" applyFill="1" applyBorder="1">
      <alignment vertical="center"/>
    </xf>
    <xf numFmtId="228" fontId="21" fillId="0" borderId="0" xfId="0" applyNumberFormat="1" applyFont="1">
      <alignment vertical="center"/>
    </xf>
    <xf numFmtId="228" fontId="21" fillId="0" borderId="0" xfId="0" applyNumberFormat="1" applyFont="1" applyAlignment="1">
      <alignment horizontal="center" vertical="center"/>
    </xf>
    <xf numFmtId="228" fontId="21" fillId="0" borderId="36" xfId="0" quotePrefix="1" applyNumberFormat="1" applyFont="1" applyBorder="1" applyAlignment="1">
      <alignment horizontal="left" vertical="center"/>
    </xf>
    <xf numFmtId="228" fontId="22" fillId="0" borderId="36" xfId="0" applyNumberFormat="1" applyFont="1" applyBorder="1" applyAlignment="1">
      <alignment horizontal="left" vertical="center"/>
    </xf>
    <xf numFmtId="228" fontId="21" fillId="0" borderId="36" xfId="0" applyNumberFormat="1" applyFont="1" applyBorder="1" applyAlignment="1">
      <alignment horizontal="left" vertical="center"/>
    </xf>
    <xf numFmtId="228" fontId="21" fillId="33" borderId="37" xfId="0" applyNumberFormat="1" applyFont="1" applyFill="1" applyBorder="1" applyAlignment="1">
      <alignment horizontal="left" vertical="center"/>
    </xf>
    <xf numFmtId="228" fontId="21" fillId="33" borderId="43" xfId="0" applyNumberFormat="1" applyFont="1" applyFill="1" applyBorder="1" applyAlignment="1">
      <alignment horizontal="left" vertical="center"/>
    </xf>
    <xf numFmtId="228" fontId="21" fillId="0" borderId="35" xfId="0" applyNumberFormat="1" applyFont="1" applyBorder="1" applyAlignment="1">
      <alignment horizontal="left" vertical="center"/>
    </xf>
    <xf numFmtId="228" fontId="21" fillId="0" borderId="0" xfId="0" applyNumberFormat="1" applyFont="1" applyAlignment="1">
      <alignment horizontal="left" vertical="center"/>
    </xf>
    <xf numFmtId="228" fontId="21" fillId="33" borderId="10" xfId="0" applyNumberFormat="1" applyFont="1" applyFill="1" applyBorder="1" applyAlignment="1">
      <alignment horizontal="left" vertical="center"/>
    </xf>
    <xf numFmtId="228" fontId="21" fillId="0" borderId="0" xfId="0" applyNumberFormat="1" applyFont="1" applyAlignment="1">
      <alignment horizontal="left" vertical="center" wrapText="1"/>
    </xf>
    <xf numFmtId="228" fontId="21" fillId="33" borderId="11" xfId="0" applyNumberFormat="1" applyFont="1" applyFill="1" applyBorder="1" applyAlignment="1">
      <alignment horizontal="left" vertical="center"/>
    </xf>
    <xf numFmtId="228" fontId="21" fillId="0" borderId="25" xfId="0" applyNumberFormat="1" applyFont="1" applyBorder="1" applyAlignment="1">
      <alignment horizontal="left" vertical="center"/>
    </xf>
    <xf numFmtId="228" fontId="21" fillId="33" borderId="11" xfId="0" applyNumberFormat="1" applyFont="1" applyFill="1" applyBorder="1" applyAlignment="1">
      <alignment horizontal="left" vertical="center" wrapText="1"/>
    </xf>
    <xf numFmtId="49" fontId="21" fillId="33" borderId="42" xfId="0" applyNumberFormat="1" applyFont="1" applyFill="1" applyBorder="1" applyAlignment="1">
      <alignment horizontal="left" vertical="center"/>
    </xf>
    <xf numFmtId="228" fontId="21" fillId="33" borderId="13" xfId="0" applyNumberFormat="1" applyFont="1" applyFill="1" applyBorder="1">
      <alignment vertical="center"/>
    </xf>
    <xf numFmtId="228" fontId="21" fillId="33" borderId="17" xfId="1" applyNumberFormat="1" applyFont="1" applyFill="1" applyBorder="1">
      <alignment vertical="center"/>
    </xf>
    <xf numFmtId="228" fontId="21" fillId="33" borderId="42" xfId="1" applyNumberFormat="1" applyFont="1" applyFill="1" applyBorder="1">
      <alignment vertical="center"/>
    </xf>
    <xf numFmtId="49" fontId="18" fillId="0" borderId="25" xfId="0" quotePrefix="1" applyNumberFormat="1" applyFont="1" applyBorder="1" applyAlignment="1">
      <alignment horizontal="left" vertical="center"/>
    </xf>
    <xf numFmtId="49" fontId="21" fillId="33" borderId="34" xfId="0" applyNumberFormat="1" applyFont="1" applyFill="1" applyBorder="1" applyAlignment="1">
      <alignment horizontal="left" vertical="center"/>
    </xf>
    <xf numFmtId="228" fontId="21" fillId="33" borderId="12" xfId="0" applyNumberFormat="1" applyFont="1" applyFill="1" applyBorder="1">
      <alignment vertical="center"/>
    </xf>
    <xf numFmtId="228" fontId="21" fillId="33" borderId="44" xfId="1" applyNumberFormat="1" applyFont="1" applyFill="1" applyBorder="1">
      <alignment vertical="center"/>
    </xf>
    <xf numFmtId="228" fontId="18" fillId="64" borderId="0" xfId="1" applyNumberFormat="1" applyFont="1" applyFill="1" applyBorder="1">
      <alignment vertical="center"/>
    </xf>
    <xf numFmtId="228" fontId="18" fillId="64" borderId="0" xfId="0" applyNumberFormat="1" applyFont="1" applyFill="1">
      <alignment vertical="center"/>
    </xf>
    <xf numFmtId="228" fontId="21" fillId="64" borderId="0" xfId="0" applyNumberFormat="1" applyFont="1" applyFill="1" applyAlignment="1">
      <alignment horizontal="center" vertical="center"/>
    </xf>
    <xf numFmtId="228" fontId="21" fillId="64" borderId="36" xfId="0" applyNumberFormat="1" applyFont="1" applyFill="1" applyBorder="1" applyAlignment="1">
      <alignment horizontal="left" vertical="center"/>
    </xf>
    <xf numFmtId="228" fontId="21" fillId="64" borderId="0" xfId="0" applyNumberFormat="1" applyFont="1" applyFill="1" applyAlignment="1">
      <alignment horizontal="left" vertical="center"/>
    </xf>
    <xf numFmtId="0" fontId="0" fillId="64" borderId="0" xfId="0" applyFill="1">
      <alignment vertical="center"/>
    </xf>
    <xf numFmtId="41" fontId="18" fillId="64" borderId="0" xfId="1" applyFont="1" applyFill="1" applyBorder="1">
      <alignment vertical="center"/>
    </xf>
    <xf numFmtId="228" fontId="21" fillId="33" borderId="0" xfId="1" applyNumberFormat="1" applyFont="1" applyFill="1" applyBorder="1">
      <alignment vertical="center"/>
    </xf>
    <xf numFmtId="49" fontId="21" fillId="64" borderId="25" xfId="0" applyNumberFormat="1" applyFont="1" applyFill="1" applyBorder="1" applyAlignment="1">
      <alignment horizontal="left" vertical="center"/>
    </xf>
    <xf numFmtId="228" fontId="21" fillId="64" borderId="0" xfId="0" applyNumberFormat="1" applyFont="1" applyFill="1">
      <alignment vertical="center"/>
    </xf>
    <xf numFmtId="228" fontId="21" fillId="64" borderId="0" xfId="1" applyNumberFormat="1" applyFont="1" applyFill="1" applyBorder="1" applyAlignment="1"/>
    <xf numFmtId="228" fontId="21" fillId="64" borderId="25" xfId="1" applyNumberFormat="1" applyFont="1" applyFill="1" applyBorder="1" applyAlignment="1"/>
    <xf numFmtId="228" fontId="21" fillId="64" borderId="11" xfId="1" applyNumberFormat="1" applyFont="1" applyFill="1" applyBorder="1">
      <alignment vertical="center"/>
    </xf>
    <xf numFmtId="41" fontId="21" fillId="64" borderId="0" xfId="1" applyFont="1" applyFill="1" applyBorder="1" applyAlignment="1"/>
    <xf numFmtId="0" fontId="21" fillId="64" borderId="0" xfId="0" applyFont="1" applyFill="1" applyBorder="1">
      <alignment vertical="center"/>
    </xf>
    <xf numFmtId="228" fontId="21" fillId="64" borderId="10" xfId="1" applyNumberFormat="1" applyFont="1" applyFill="1" applyBorder="1">
      <alignment vertical="center"/>
    </xf>
    <xf numFmtId="0" fontId="18" fillId="64" borderId="0" xfId="0" applyFont="1" applyFill="1" applyBorder="1">
      <alignment vertical="center"/>
    </xf>
    <xf numFmtId="176" fontId="18" fillId="64" borderId="0" xfId="1" applyNumberFormat="1" applyFont="1" applyFill="1" applyBorder="1">
      <alignment vertical="center"/>
    </xf>
    <xf numFmtId="0" fontId="18" fillId="64" borderId="0" xfId="0" applyFont="1" applyFill="1" applyAlignment="1"/>
    <xf numFmtId="0" fontId="21" fillId="64" borderId="0" xfId="0" applyFont="1" applyFill="1" applyBorder="1" applyAlignment="1">
      <alignment horizontal="center" vertical="center"/>
    </xf>
    <xf numFmtId="0" fontId="21" fillId="64" borderId="36" xfId="0" applyFont="1" applyFill="1" applyBorder="1" applyAlignment="1">
      <alignment horizontal="left" vertical="center"/>
    </xf>
    <xf numFmtId="0" fontId="21" fillId="64" borderId="0" xfId="0" applyFont="1" applyFill="1" applyBorder="1" applyAlignment="1">
      <alignment horizontal="left" vertical="center"/>
    </xf>
    <xf numFmtId="228" fontId="21" fillId="64" borderId="13" xfId="1" applyNumberFormat="1" applyFont="1" applyFill="1" applyBorder="1">
      <alignment vertical="center"/>
    </xf>
    <xf numFmtId="228" fontId="18" fillId="0" borderId="0" xfId="0" applyNumberFormat="1" applyFont="1" applyFill="1" applyBorder="1">
      <alignment vertical="center"/>
    </xf>
    <xf numFmtId="232" fontId="18" fillId="0" borderId="0" xfId="0" applyNumberFormat="1" applyFont="1">
      <alignment vertical="center"/>
    </xf>
    <xf numFmtId="41" fontId="18" fillId="64" borderId="0" xfId="0" applyNumberFormat="1" applyFont="1" applyFill="1" applyBorder="1">
      <alignment vertical="center"/>
    </xf>
    <xf numFmtId="228" fontId="21" fillId="64" borderId="12" xfId="1" applyNumberFormat="1" applyFont="1" applyFill="1" applyBorder="1">
      <alignment vertical="center"/>
    </xf>
    <xf numFmtId="41" fontId="18" fillId="65" borderId="0" xfId="1" applyFont="1" applyFill="1" applyBorder="1">
      <alignment vertical="center"/>
    </xf>
    <xf numFmtId="228" fontId="21" fillId="65" borderId="0" xfId="1" applyNumberFormat="1" applyFont="1" applyFill="1" applyBorder="1" applyAlignment="1"/>
    <xf numFmtId="232" fontId="18" fillId="0" borderId="0" xfId="1" applyNumberFormat="1" applyFont="1" applyFill="1" applyBorder="1">
      <alignment vertical="center"/>
    </xf>
    <xf numFmtId="232" fontId="234" fillId="0" borderId="0" xfId="1" applyNumberFormat="1" applyFont="1" applyFill="1" applyBorder="1">
      <alignment vertical="center"/>
    </xf>
    <xf numFmtId="232" fontId="18" fillId="0" borderId="0" xfId="0" applyNumberFormat="1" applyFont="1" applyAlignment="1"/>
    <xf numFmtId="232" fontId="21" fillId="0" borderId="0" xfId="1" applyNumberFormat="1" applyFont="1" applyFill="1" applyBorder="1">
      <alignment vertical="center"/>
    </xf>
    <xf numFmtId="232" fontId="21" fillId="0" borderId="0" xfId="0" applyNumberFormat="1" applyFont="1" applyAlignment="1">
      <alignment horizontal="center" vertical="center"/>
    </xf>
    <xf numFmtId="232" fontId="21" fillId="0" borderId="36" xfId="0" quotePrefix="1" applyNumberFormat="1" applyFont="1" applyBorder="1" applyAlignment="1">
      <alignment horizontal="left" vertical="center"/>
    </xf>
    <xf numFmtId="232" fontId="22" fillId="0" borderId="36" xfId="0" applyNumberFormat="1" applyFont="1" applyBorder="1" applyAlignment="1">
      <alignment horizontal="left" vertical="center"/>
    </xf>
    <xf numFmtId="232" fontId="21" fillId="0" borderId="36" xfId="0" applyNumberFormat="1" applyFont="1" applyBorder="1" applyAlignment="1">
      <alignment horizontal="left" vertical="center"/>
    </xf>
    <xf numFmtId="232" fontId="21" fillId="33" borderId="37" xfId="0" applyNumberFormat="1" applyFont="1" applyFill="1" applyBorder="1" applyAlignment="1">
      <alignment horizontal="left" vertical="center"/>
    </xf>
    <xf numFmtId="232" fontId="21" fillId="0" borderId="0" xfId="0" applyNumberFormat="1" applyFont="1" applyAlignment="1">
      <alignment horizontal="left" vertical="center"/>
    </xf>
    <xf numFmtId="232" fontId="21" fillId="33" borderId="10" xfId="0" applyNumberFormat="1" applyFont="1" applyFill="1" applyBorder="1" applyAlignment="1">
      <alignment horizontal="left" vertical="center"/>
    </xf>
    <xf numFmtId="232" fontId="21" fillId="0" borderId="25" xfId="0" applyNumberFormat="1" applyFont="1" applyBorder="1" applyAlignment="1">
      <alignment horizontal="left" vertical="center"/>
    </xf>
    <xf numFmtId="232" fontId="21" fillId="0" borderId="0" xfId="0" applyNumberFormat="1" applyFont="1">
      <alignment vertical="center"/>
    </xf>
    <xf numFmtId="232" fontId="21" fillId="0" borderId="0" xfId="1" applyNumberFormat="1" applyFont="1" applyBorder="1" applyAlignment="1"/>
    <xf numFmtId="232" fontId="21" fillId="33" borderId="10" xfId="1" applyNumberFormat="1" applyFont="1" applyFill="1" applyBorder="1">
      <alignment vertical="center"/>
    </xf>
    <xf numFmtId="232" fontId="21" fillId="33" borderId="12" xfId="0" applyNumberFormat="1" applyFont="1" applyFill="1" applyBorder="1">
      <alignment vertical="center"/>
    </xf>
    <xf numFmtId="232" fontId="21" fillId="33" borderId="44" xfId="1" applyNumberFormat="1" applyFont="1" applyFill="1" applyBorder="1">
      <alignment vertical="center"/>
    </xf>
    <xf numFmtId="232" fontId="21" fillId="33" borderId="42" xfId="0" applyNumberFormat="1" applyFont="1" applyFill="1" applyBorder="1" applyAlignment="1">
      <alignment horizontal="left" vertical="center"/>
    </xf>
    <xf numFmtId="232" fontId="21" fillId="33" borderId="13" xfId="0" applyNumberFormat="1" applyFont="1" applyFill="1" applyBorder="1">
      <alignment vertical="center"/>
    </xf>
    <xf numFmtId="232" fontId="18" fillId="33" borderId="13" xfId="1" applyNumberFormat="1" applyFont="1" applyFill="1" applyBorder="1">
      <alignment vertical="center"/>
    </xf>
    <xf numFmtId="232" fontId="21" fillId="33" borderId="33" xfId="1" applyNumberFormat="1" applyFont="1" applyFill="1" applyBorder="1">
      <alignment vertical="center"/>
    </xf>
    <xf numFmtId="232" fontId="18" fillId="0" borderId="25" xfId="0" quotePrefix="1" applyNumberFormat="1" applyFont="1" applyBorder="1" applyAlignment="1">
      <alignment horizontal="left" vertical="center"/>
    </xf>
    <xf numFmtId="232" fontId="18" fillId="0" borderId="36" xfId="0" applyNumberFormat="1" applyFont="1" applyBorder="1">
      <alignment vertical="center"/>
    </xf>
    <xf numFmtId="232" fontId="18" fillId="0" borderId="36" xfId="1" applyNumberFormat="1" applyFont="1" applyFill="1" applyBorder="1">
      <alignment vertical="center"/>
    </xf>
    <xf numFmtId="232" fontId="21" fillId="33" borderId="37" xfId="1" applyNumberFormat="1" applyFont="1" applyFill="1" applyBorder="1">
      <alignment vertical="center"/>
    </xf>
    <xf numFmtId="232" fontId="21" fillId="33" borderId="34" xfId="0" applyNumberFormat="1" applyFont="1" applyFill="1" applyBorder="1" applyAlignment="1">
      <alignment horizontal="left" vertical="center"/>
    </xf>
    <xf numFmtId="232" fontId="18" fillId="33" borderId="12" xfId="1" applyNumberFormat="1" applyFont="1" applyFill="1" applyBorder="1">
      <alignment vertical="center"/>
    </xf>
    <xf numFmtId="49" fontId="21" fillId="65" borderId="25" xfId="0" applyNumberFormat="1" applyFont="1" applyFill="1" applyBorder="1" applyAlignment="1">
      <alignment horizontal="left" vertical="center"/>
    </xf>
    <xf numFmtId="228" fontId="21" fillId="65" borderId="0" xfId="0" applyNumberFormat="1" applyFont="1" applyFill="1">
      <alignment vertical="center"/>
    </xf>
    <xf numFmtId="0" fontId="0" fillId="65" borderId="0" xfId="0" applyFill="1">
      <alignment vertical="center"/>
    </xf>
    <xf numFmtId="228" fontId="21" fillId="65" borderId="10" xfId="1" applyNumberFormat="1" applyFont="1" applyFill="1" applyBorder="1">
      <alignment vertical="center"/>
    </xf>
    <xf numFmtId="228" fontId="21" fillId="65" borderId="11" xfId="1" applyNumberFormat="1" applyFont="1" applyFill="1" applyBorder="1">
      <alignment vertical="center"/>
    </xf>
    <xf numFmtId="228" fontId="21" fillId="65" borderId="25" xfId="1" applyNumberFormat="1" applyFont="1" applyFill="1" applyBorder="1" applyAlignment="1"/>
    <xf numFmtId="228" fontId="18" fillId="65" borderId="0" xfId="0" applyNumberFormat="1" applyFont="1" applyFill="1">
      <alignment vertical="center"/>
    </xf>
    <xf numFmtId="176" fontId="18" fillId="66" borderId="0" xfId="1" applyNumberFormat="1" applyFont="1" applyFill="1" applyBorder="1">
      <alignment vertical="center"/>
    </xf>
    <xf numFmtId="41" fontId="18" fillId="66" borderId="0" xfId="0" applyNumberFormat="1" applyFont="1" applyFill="1" applyBorder="1">
      <alignment vertical="center"/>
    </xf>
    <xf numFmtId="0" fontId="18" fillId="66" borderId="0" xfId="0" applyFont="1" applyFill="1" applyBorder="1">
      <alignment vertical="center"/>
    </xf>
    <xf numFmtId="0" fontId="21" fillId="66" borderId="0" xfId="0" applyFont="1" applyFill="1" applyBorder="1" applyAlignment="1">
      <alignment horizontal="center" vertical="center"/>
    </xf>
    <xf numFmtId="0" fontId="21" fillId="66" borderId="36" xfId="0" applyFont="1" applyFill="1" applyBorder="1" applyAlignment="1">
      <alignment horizontal="left" vertical="center"/>
    </xf>
    <xf numFmtId="0" fontId="21" fillId="66" borderId="0" xfId="0" applyFont="1" applyFill="1" applyBorder="1" applyAlignment="1">
      <alignment horizontal="left" vertical="center"/>
    </xf>
    <xf numFmtId="230" fontId="21" fillId="66" borderId="0" xfId="1" applyNumberFormat="1" applyFont="1" applyFill="1" applyBorder="1" applyAlignment="1"/>
    <xf numFmtId="49" fontId="21" fillId="66" borderId="25" xfId="0" applyNumberFormat="1" applyFont="1" applyFill="1" applyBorder="1" applyAlignment="1">
      <alignment horizontal="left" vertical="center"/>
    </xf>
    <xf numFmtId="0" fontId="21" fillId="66" borderId="0" xfId="0" applyFont="1" applyFill="1" applyBorder="1">
      <alignment vertical="center"/>
    </xf>
    <xf numFmtId="231" fontId="21" fillId="66" borderId="10" xfId="1" applyNumberFormat="1" applyFont="1" applyFill="1" applyBorder="1">
      <alignment vertical="center"/>
    </xf>
    <xf numFmtId="0" fontId="238" fillId="0" borderId="0" xfId="0" applyFon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0" fontId="21" fillId="0" borderId="0" xfId="0" applyFont="1">
      <alignment vertical="center"/>
    </xf>
    <xf numFmtId="233" fontId="0" fillId="0" borderId="0" xfId="1" applyNumberFormat="1" applyFont="1">
      <alignment vertical="center"/>
    </xf>
    <xf numFmtId="233" fontId="0" fillId="0" borderId="0" xfId="0" applyNumberFormat="1">
      <alignment vertical="center"/>
    </xf>
    <xf numFmtId="228" fontId="21" fillId="0" borderId="38" xfId="0" applyNumberFormat="1" applyFont="1" applyBorder="1" applyAlignment="1">
      <alignment horizontal="left" vertical="center" wrapText="1"/>
    </xf>
    <xf numFmtId="228" fontId="21" fillId="0" borderId="39" xfId="0" applyNumberFormat="1" applyFont="1" applyBorder="1" applyAlignment="1">
      <alignment horizontal="left" vertical="center" wrapText="1"/>
    </xf>
    <xf numFmtId="228" fontId="21" fillId="0" borderId="40" xfId="0" applyNumberFormat="1" applyFont="1" applyBorder="1" applyAlignment="1">
      <alignment horizontal="left" vertical="center" wrapText="1"/>
    </xf>
    <xf numFmtId="228" fontId="21" fillId="0" borderId="41" xfId="0" applyNumberFormat="1" applyFont="1" applyBorder="1" applyAlignment="1">
      <alignment horizontal="left" vertical="center" wrapText="1"/>
    </xf>
    <xf numFmtId="0" fontId="21" fillId="0" borderId="38" xfId="0" applyFont="1" applyFill="1" applyBorder="1" applyAlignment="1">
      <alignment horizontal="left" vertical="center" wrapText="1"/>
    </xf>
    <xf numFmtId="0" fontId="21" fillId="0" borderId="39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232" fontId="21" fillId="0" borderId="38" xfId="0" applyNumberFormat="1" applyFont="1" applyBorder="1" applyAlignment="1">
      <alignment horizontal="left" vertical="center" wrapText="1"/>
    </xf>
    <xf numFmtId="232" fontId="21" fillId="0" borderId="39" xfId="0" applyNumberFormat="1" applyFont="1" applyBorder="1" applyAlignment="1">
      <alignment horizontal="left" vertical="center" wrapText="1"/>
    </xf>
    <xf numFmtId="232" fontId="21" fillId="0" borderId="40" xfId="0" applyNumberFormat="1" applyFont="1" applyBorder="1" applyAlignment="1">
      <alignment horizontal="left" vertical="center" wrapText="1"/>
    </xf>
    <xf numFmtId="232" fontId="21" fillId="0" borderId="41" xfId="0" applyNumberFormat="1" applyFont="1" applyBorder="1" applyAlignment="1">
      <alignment horizontal="left" vertical="center" wrapText="1"/>
    </xf>
    <xf numFmtId="228" fontId="237" fillId="0" borderId="38" xfId="0" applyNumberFormat="1" applyFont="1" applyBorder="1" applyAlignment="1">
      <alignment horizontal="left" vertical="center" wrapText="1"/>
    </xf>
    <xf numFmtId="228" fontId="237" fillId="0" borderId="39" xfId="0" applyNumberFormat="1" applyFont="1" applyBorder="1" applyAlignment="1">
      <alignment horizontal="left" vertical="center" wrapText="1"/>
    </xf>
    <xf numFmtId="228" fontId="237" fillId="0" borderId="40" xfId="0" applyNumberFormat="1" applyFont="1" applyBorder="1" applyAlignment="1">
      <alignment horizontal="left" vertical="center" wrapText="1"/>
    </xf>
    <xf numFmtId="228" fontId="237" fillId="0" borderId="41" xfId="0" applyNumberFormat="1" applyFont="1" applyBorder="1" applyAlignment="1">
      <alignment horizontal="left" vertical="center" wrapText="1"/>
    </xf>
  </cellXfs>
  <cellStyles count="33163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" xfId="33162" builtinId="5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60" xfId="33159" xr:uid="{BB05C939-DF8D-4721-B27B-8DD828FBC05B}"/>
    <cellStyle name="표준 261" xfId="33160" xr:uid="{26428718-3E36-4268-ADF9-E6DDE78C139A}"/>
    <cellStyle name="표준 262" xfId="33161" xr:uid="{3B0849D2-8A0D-460B-94DA-81C32401F023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CD92-0BB3-4A24-919A-EA19EBBCB83D}">
  <dimension ref="A1:I49"/>
  <sheetViews>
    <sheetView topLeftCell="A38" workbookViewId="0">
      <selection activeCell="I48" sqref="I48"/>
    </sheetView>
  </sheetViews>
  <sheetFormatPr defaultRowHeight="16.5"/>
  <cols>
    <col min="2" max="2" width="20.25" customWidth="1"/>
  </cols>
  <sheetData>
    <row r="1" spans="1:9">
      <c r="A1" t="s">
        <v>121</v>
      </c>
    </row>
    <row r="4" spans="1:9">
      <c r="A4" t="s">
        <v>123</v>
      </c>
      <c r="B4" t="s">
        <v>124</v>
      </c>
    </row>
    <row r="6" spans="1:9">
      <c r="A6" t="s">
        <v>122</v>
      </c>
      <c r="B6">
        <v>1000</v>
      </c>
    </row>
    <row r="8" spans="1:9">
      <c r="A8" t="s">
        <v>125</v>
      </c>
    </row>
    <row r="9" spans="1:9">
      <c r="C9" t="s">
        <v>126</v>
      </c>
      <c r="D9" t="s">
        <v>140</v>
      </c>
      <c r="F9" t="s">
        <v>116</v>
      </c>
      <c r="G9" s="173">
        <f>B6*Ad!J42</f>
        <v>224.85881441941004</v>
      </c>
    </row>
    <row r="10" spans="1:9">
      <c r="A10" s="44" t="s">
        <v>44</v>
      </c>
      <c r="B10" s="15" t="s">
        <v>2</v>
      </c>
      <c r="F10" t="s">
        <v>117</v>
      </c>
      <c r="G10" s="173">
        <f>B6*M!J24</f>
        <v>498.27530093094066</v>
      </c>
    </row>
    <row r="11" spans="1:9">
      <c r="A11" s="44" t="s">
        <v>45</v>
      </c>
      <c r="B11" s="15" t="s">
        <v>3</v>
      </c>
      <c r="F11" t="s">
        <v>118</v>
      </c>
      <c r="G11" s="174">
        <f>B6*M!J41-cases2!G9-cases2!G10</f>
        <v>168.06666210253655</v>
      </c>
    </row>
    <row r="12" spans="1:9">
      <c r="A12" s="44" t="s">
        <v>46</v>
      </c>
      <c r="B12" s="15" t="s">
        <v>4</v>
      </c>
      <c r="F12" t="s">
        <v>129</v>
      </c>
      <c r="G12" s="173">
        <f>SUM(G9:G11)</f>
        <v>891.20077745288722</v>
      </c>
    </row>
    <row r="13" spans="1:9">
      <c r="A13" s="44" t="s">
        <v>47</v>
      </c>
      <c r="B13" s="15" t="s">
        <v>5</v>
      </c>
    </row>
    <row r="14" spans="1:9">
      <c r="A14" s="44" t="s">
        <v>48</v>
      </c>
      <c r="B14" s="15" t="s">
        <v>6</v>
      </c>
      <c r="G14" s="72" t="s">
        <v>150</v>
      </c>
      <c r="H14" s="175"/>
      <c r="I14" t="s">
        <v>151</v>
      </c>
    </row>
    <row r="15" spans="1:9">
      <c r="A15" s="44" t="s">
        <v>49</v>
      </c>
      <c r="B15" s="15" t="s">
        <v>7</v>
      </c>
      <c r="G15" s="44" t="s">
        <v>44</v>
      </c>
      <c r="H15" s="15" t="s">
        <v>2</v>
      </c>
      <c r="I15" s="176">
        <f>$B$6*M!J7</f>
        <v>1.8109229994709226</v>
      </c>
    </row>
    <row r="16" spans="1:9">
      <c r="A16" s="44" t="s">
        <v>50</v>
      </c>
      <c r="B16" s="15" t="s">
        <v>8</v>
      </c>
      <c r="G16" s="44" t="s">
        <v>45</v>
      </c>
      <c r="H16" s="15" t="s">
        <v>3</v>
      </c>
      <c r="I16" s="176">
        <f>$B$6*M!J8</f>
        <v>0.34356144462777027</v>
      </c>
    </row>
    <row r="17" spans="1:9">
      <c r="A17" s="44" t="s">
        <v>51</v>
      </c>
      <c r="B17" s="15" t="s">
        <v>9</v>
      </c>
      <c r="G17" s="44" t="s">
        <v>46</v>
      </c>
      <c r="H17" s="15" t="s">
        <v>4</v>
      </c>
      <c r="I17" s="176">
        <f>$B$6*M!J9</f>
        <v>0.15694192761445006</v>
      </c>
    </row>
    <row r="18" spans="1:9">
      <c r="A18" s="44" t="s">
        <v>52</v>
      </c>
      <c r="B18" s="15" t="s">
        <v>10</v>
      </c>
      <c r="G18" s="44" t="s">
        <v>47</v>
      </c>
      <c r="H18" s="15" t="s">
        <v>5</v>
      </c>
      <c r="I18" s="176">
        <f>$B$6*M!J10</f>
        <v>0.39327280582498436</v>
      </c>
    </row>
    <row r="19" spans="1:9">
      <c r="A19" s="44" t="s">
        <v>53</v>
      </c>
      <c r="B19" s="15" t="s">
        <v>54</v>
      </c>
      <c r="G19" s="44" t="s">
        <v>48</v>
      </c>
      <c r="H19" s="15" t="s">
        <v>6</v>
      </c>
      <c r="I19" s="176">
        <f>$B$6*M!J11</f>
        <v>0.66717960937087328</v>
      </c>
    </row>
    <row r="20" spans="1:9">
      <c r="A20" s="44" t="s">
        <v>55</v>
      </c>
      <c r="B20" s="15" t="s">
        <v>56</v>
      </c>
      <c r="G20" s="44" t="s">
        <v>49</v>
      </c>
      <c r="H20" s="15" t="s">
        <v>7</v>
      </c>
      <c r="I20" s="176">
        <f>$B$6*M!J12</f>
        <v>8.9860546981357174</v>
      </c>
    </row>
    <row r="21" spans="1:9">
      <c r="A21" s="44" t="s">
        <v>57</v>
      </c>
      <c r="B21" s="15" t="s">
        <v>58</v>
      </c>
      <c r="G21" s="44" t="s">
        <v>50</v>
      </c>
      <c r="H21" s="15" t="s">
        <v>8</v>
      </c>
      <c r="I21" s="176">
        <f>$B$6*M!J13</f>
        <v>37.913884911295369</v>
      </c>
    </row>
    <row r="22" spans="1:9">
      <c r="A22" s="44" t="s">
        <v>59</v>
      </c>
      <c r="B22" s="15" t="s">
        <v>11</v>
      </c>
      <c r="C22">
        <v>10</v>
      </c>
      <c r="D22">
        <f>C22*$B$6/100</f>
        <v>100</v>
      </c>
      <c r="G22" s="44"/>
      <c r="H22" s="15" t="s">
        <v>144</v>
      </c>
      <c r="I22" s="176">
        <f>$B$6*M!J14</f>
        <v>288.28063447320255</v>
      </c>
    </row>
    <row r="23" spans="1:9">
      <c r="A23" s="44" t="s">
        <v>60</v>
      </c>
      <c r="B23" s="15" t="s">
        <v>12</v>
      </c>
      <c r="G23" s="44" t="s">
        <v>51</v>
      </c>
      <c r="H23" s="15" t="s">
        <v>9</v>
      </c>
      <c r="I23" s="176">
        <f>$B$6*M!J15</f>
        <v>2.6139488232575019</v>
      </c>
    </row>
    <row r="24" spans="1:9">
      <c r="A24" s="44" t="s">
        <v>61</v>
      </c>
      <c r="B24" s="15" t="s">
        <v>62</v>
      </c>
      <c r="G24" s="44" t="s">
        <v>52</v>
      </c>
      <c r="H24" s="15" t="s">
        <v>10</v>
      </c>
      <c r="I24" s="176">
        <f>$B$6*M!J16</f>
        <v>11.318045413627145</v>
      </c>
    </row>
    <row r="25" spans="1:9">
      <c r="A25" s="44" t="s">
        <v>63</v>
      </c>
      <c r="B25" s="15" t="s">
        <v>64</v>
      </c>
      <c r="G25" s="44" t="s">
        <v>53</v>
      </c>
      <c r="H25" s="15" t="s">
        <v>54</v>
      </c>
      <c r="I25" s="176">
        <f>$B$6*M!J17</f>
        <v>7.2294765867593605E-2</v>
      </c>
    </row>
    <row r="26" spans="1:9">
      <c r="A26" s="44" t="s">
        <v>65</v>
      </c>
      <c r="B26" s="15" t="s">
        <v>13</v>
      </c>
      <c r="C26">
        <v>20</v>
      </c>
      <c r="D26">
        <f>C26*$B$6/100</f>
        <v>200</v>
      </c>
      <c r="G26" s="44" t="s">
        <v>55</v>
      </c>
      <c r="H26" s="15" t="s">
        <v>56</v>
      </c>
      <c r="I26" s="176">
        <f>$B$6*M!J18</f>
        <v>0.2012712685529551</v>
      </c>
    </row>
    <row r="27" spans="1:9">
      <c r="A27" s="44" t="s">
        <v>66</v>
      </c>
      <c r="B27" s="15" t="s">
        <v>67</v>
      </c>
      <c r="G27" s="44" t="s">
        <v>57</v>
      </c>
      <c r="H27" s="15" t="s">
        <v>58</v>
      </c>
      <c r="I27" s="176">
        <f>$B$6*M!J19</f>
        <v>1.3017723106324677E-2</v>
      </c>
    </row>
    <row r="28" spans="1:9">
      <c r="A28" s="44" t="s">
        <v>68</v>
      </c>
      <c r="B28" s="15" t="s">
        <v>14</v>
      </c>
      <c r="G28" s="44" t="s">
        <v>59</v>
      </c>
      <c r="H28" s="15" t="s">
        <v>11</v>
      </c>
      <c r="I28" s="176">
        <f>$B$6*M!J20</f>
        <v>3.922181723253308</v>
      </c>
    </row>
    <row r="29" spans="1:9">
      <c r="A29" s="44" t="s">
        <v>69</v>
      </c>
      <c r="B29" s="15" t="s">
        <v>70</v>
      </c>
      <c r="G29" s="44" t="s">
        <v>60</v>
      </c>
      <c r="H29" s="15" t="s">
        <v>12</v>
      </c>
      <c r="I29" s="176">
        <f>$B$6*M!J21</f>
        <v>6.1659998865579296E-2</v>
      </c>
    </row>
    <row r="30" spans="1:9">
      <c r="A30" s="44" t="s">
        <v>71</v>
      </c>
      <c r="B30" s="15" t="s">
        <v>42</v>
      </c>
      <c r="G30" s="44" t="s">
        <v>61</v>
      </c>
      <c r="H30" s="15" t="s">
        <v>62</v>
      </c>
      <c r="I30" s="176">
        <f>$B$6*M!J22</f>
        <v>0.20549765794908256</v>
      </c>
    </row>
    <row r="31" spans="1:9">
      <c r="A31" s="44" t="s">
        <v>72</v>
      </c>
      <c r="B31" s="15" t="s">
        <v>15</v>
      </c>
      <c r="G31" s="44" t="s">
        <v>63</v>
      </c>
      <c r="H31" s="15" t="s">
        <v>64</v>
      </c>
      <c r="I31" s="176">
        <f>$B$6*M!J23</f>
        <v>0.75005313026971832</v>
      </c>
    </row>
    <row r="32" spans="1:9">
      <c r="A32" s="44" t="s">
        <v>73</v>
      </c>
      <c r="B32" s="15" t="s">
        <v>16</v>
      </c>
      <c r="G32" s="44" t="s">
        <v>65</v>
      </c>
      <c r="H32" s="15" t="s">
        <v>13</v>
      </c>
      <c r="I32" s="176">
        <f>$B$6*M!J24</f>
        <v>498.27530093094066</v>
      </c>
    </row>
    <row r="33" spans="1:9">
      <c r="A33" s="44" t="s">
        <v>74</v>
      </c>
      <c r="B33" s="15" t="s">
        <v>17</v>
      </c>
      <c r="G33" s="44" t="s">
        <v>66</v>
      </c>
      <c r="H33" s="15" t="s">
        <v>67</v>
      </c>
      <c r="I33" s="176">
        <f>$B$6*M!J25</f>
        <v>8.3330607197311881</v>
      </c>
    </row>
    <row r="34" spans="1:9">
      <c r="A34" s="44" t="s">
        <v>75</v>
      </c>
      <c r="B34" s="15" t="s">
        <v>76</v>
      </c>
      <c r="G34" s="44" t="s">
        <v>68</v>
      </c>
      <c r="H34" s="15" t="s">
        <v>14</v>
      </c>
      <c r="I34" s="176">
        <f>$B$6*M!J26</f>
        <v>1.4906132109195471E-2</v>
      </c>
    </row>
    <row r="35" spans="1:9">
      <c r="A35" s="44" t="s">
        <v>77</v>
      </c>
      <c r="B35" s="15" t="s">
        <v>43</v>
      </c>
      <c r="G35" s="44" t="s">
        <v>69</v>
      </c>
      <c r="H35" s="15" t="s">
        <v>70</v>
      </c>
      <c r="I35" s="176">
        <f>$B$6*M!J27</f>
        <v>0.26536100415046737</v>
      </c>
    </row>
    <row r="36" spans="1:9">
      <c r="A36" s="44" t="s">
        <v>78</v>
      </c>
      <c r="B36" s="15" t="s">
        <v>18</v>
      </c>
      <c r="G36" s="44" t="s">
        <v>71</v>
      </c>
      <c r="H36" s="15" t="s">
        <v>42</v>
      </c>
      <c r="I36" s="176">
        <f>$B$6*M!J28</f>
        <v>25.806608851835161</v>
      </c>
    </row>
    <row r="37" spans="1:9">
      <c r="A37" s="44" t="s">
        <v>79</v>
      </c>
      <c r="B37" s="15" t="s">
        <v>80</v>
      </c>
      <c r="G37" s="44" t="s">
        <v>72</v>
      </c>
      <c r="H37" s="15" t="s">
        <v>15</v>
      </c>
      <c r="I37" s="176">
        <f>$B$6*M!J29</f>
        <v>0.17438294005970628</v>
      </c>
    </row>
    <row r="38" spans="1:9">
      <c r="A38" s="44" t="s">
        <v>81</v>
      </c>
      <c r="B38" s="15" t="s">
        <v>19</v>
      </c>
      <c r="G38" s="44" t="s">
        <v>73</v>
      </c>
      <c r="H38" s="15" t="s">
        <v>16</v>
      </c>
      <c r="I38" s="176">
        <f>$B$6*M!J30</f>
        <v>6.9804421044449916E-3</v>
      </c>
    </row>
    <row r="39" spans="1:9">
      <c r="A39" s="44" t="s">
        <v>82</v>
      </c>
      <c r="B39" s="15" t="s">
        <v>83</v>
      </c>
      <c r="G39" s="44" t="s">
        <v>74</v>
      </c>
      <c r="H39" s="15" t="s">
        <v>17</v>
      </c>
      <c r="I39" s="176">
        <f>$B$6*M!J31</f>
        <v>1.6683460257231646E-2</v>
      </c>
    </row>
    <row r="40" spans="1:9">
      <c r="A40" s="44" t="s">
        <v>84</v>
      </c>
      <c r="B40" s="15" t="s">
        <v>85</v>
      </c>
      <c r="G40" s="44" t="s">
        <v>75</v>
      </c>
      <c r="H40" s="15" t="s">
        <v>76</v>
      </c>
      <c r="I40" s="176">
        <f>$B$6*M!J32</f>
        <v>9.2325773610137801E-3</v>
      </c>
    </row>
    <row r="41" spans="1:9">
      <c r="A41" s="44" t="s">
        <v>86</v>
      </c>
      <c r="B41" s="15" t="s">
        <v>87</v>
      </c>
      <c r="G41" s="44" t="s">
        <v>77</v>
      </c>
      <c r="H41" s="15" t="s">
        <v>43</v>
      </c>
      <c r="I41" s="176">
        <f>$B$6*M!J33</f>
        <v>0.40521533603162613</v>
      </c>
    </row>
    <row r="42" spans="1:9">
      <c r="A42" s="44" t="s">
        <v>88</v>
      </c>
      <c r="B42" s="15" t="s">
        <v>89</v>
      </c>
      <c r="G42" s="44" t="s">
        <v>78</v>
      </c>
      <c r="H42" s="15" t="s">
        <v>18</v>
      </c>
      <c r="I42" s="176">
        <f>$B$6*M!J34</f>
        <v>2.4009878676635441E-2</v>
      </c>
    </row>
    <row r="43" spans="1:9">
      <c r="A43" s="46" t="s">
        <v>91</v>
      </c>
      <c r="B43" s="16" t="s">
        <v>20</v>
      </c>
      <c r="C43">
        <f>SUM(C10:C42)</f>
        <v>30</v>
      </c>
      <c r="D43">
        <f>C43*$B$6/100</f>
        <v>300</v>
      </c>
      <c r="G43" s="44" t="s">
        <v>79</v>
      </c>
      <c r="H43" s="15" t="s">
        <v>80</v>
      </c>
      <c r="I43" s="176">
        <f>$B$6*M!J35</f>
        <v>9.0332699322304782E-2</v>
      </c>
    </row>
    <row r="44" spans="1:9">
      <c r="A44" s="47" t="s">
        <v>92</v>
      </c>
      <c r="B44" s="1" t="s">
        <v>21</v>
      </c>
      <c r="C44">
        <v>20</v>
      </c>
      <c r="D44">
        <f>C44*$B$6/100</f>
        <v>200</v>
      </c>
      <c r="G44" s="44" t="s">
        <v>81</v>
      </c>
      <c r="H44" s="15" t="s">
        <v>19</v>
      </c>
      <c r="I44" s="176">
        <f>$B$6*M!J36</f>
        <v>1.518200966295913E-2</v>
      </c>
    </row>
    <row r="45" spans="1:9">
      <c r="A45" s="47" t="s">
        <v>93</v>
      </c>
      <c r="B45" s="1" t="s">
        <v>127</v>
      </c>
      <c r="C45">
        <v>10</v>
      </c>
      <c r="D45">
        <f>C45*$B$6/100</f>
        <v>100</v>
      </c>
      <c r="G45" s="44" t="s">
        <v>82</v>
      </c>
      <c r="H45" s="15" t="s">
        <v>83</v>
      </c>
      <c r="I45" s="176">
        <f>$B$6*M!J37</f>
        <v>1.4657313830575811E-2</v>
      </c>
    </row>
    <row r="46" spans="1:9">
      <c r="A46" s="47" t="s">
        <v>94</v>
      </c>
      <c r="B46" s="1" t="s">
        <v>128</v>
      </c>
      <c r="C46">
        <v>5</v>
      </c>
      <c r="D46">
        <f>C46*$B$6/100</f>
        <v>50</v>
      </c>
      <c r="G46" s="44" t="s">
        <v>84</v>
      </c>
      <c r="H46" s="15" t="s">
        <v>85</v>
      </c>
      <c r="I46" s="176">
        <f>$B$6*M!J38</f>
        <v>1.535392323474858E-2</v>
      </c>
    </row>
    <row r="47" spans="1:9">
      <c r="A47" s="47" t="s">
        <v>95</v>
      </c>
      <c r="B47" s="1" t="s">
        <v>39</v>
      </c>
      <c r="C47" t="s">
        <v>130</v>
      </c>
      <c r="G47" s="44" t="s">
        <v>86</v>
      </c>
      <c r="H47" s="15" t="s">
        <v>87</v>
      </c>
      <c r="I47" s="176">
        <f>$B$6*M!J39</f>
        <v>2.3085859287585428E-2</v>
      </c>
    </row>
    <row r="48" spans="1:9">
      <c r="A48" s="45" t="s">
        <v>96</v>
      </c>
      <c r="B48" s="31" t="s">
        <v>24</v>
      </c>
      <c r="C48">
        <f>SUM(C44:C47)</f>
        <v>35</v>
      </c>
      <c r="G48" s="44" t="s">
        <v>88</v>
      </c>
      <c r="H48" s="15" t="s">
        <v>89</v>
      </c>
      <c r="I48" s="176">
        <f>$B$6*M!J40</f>
        <v>0</v>
      </c>
    </row>
    <row r="49" spans="1:9">
      <c r="A49" s="45" t="s">
        <v>97</v>
      </c>
      <c r="B49" s="31" t="s">
        <v>129</v>
      </c>
      <c r="C49">
        <f>C43+C48</f>
        <v>65</v>
      </c>
      <c r="H49" s="15" t="s">
        <v>129</v>
      </c>
      <c r="I49" s="177">
        <f>SUM(I15:I48)</f>
        <v>891.20077745288711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704B-7E65-4D7C-946E-071527120043}">
  <sheetPr>
    <tabColor theme="5"/>
  </sheetPr>
  <dimension ref="A1:BA47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A10" sqref="A10"/>
    </sheetView>
  </sheetViews>
  <sheetFormatPr defaultColWidth="18.625" defaultRowHeight="13.5" customHeight="1"/>
  <cols>
    <col min="1" max="1" width="5.625" style="73" customWidth="1"/>
    <col min="2" max="2" width="21.75" style="73" customWidth="1"/>
    <col min="3" max="16384" width="18.625" style="73"/>
  </cols>
  <sheetData>
    <row r="1" spans="1:53" ht="13.5" customHeight="1">
      <c r="A1" s="73" t="s">
        <v>131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K1" s="75"/>
      <c r="AN1" s="75"/>
    </row>
    <row r="2" spans="1:53" ht="13.5" customHeight="1">
      <c r="A2" s="73" t="s">
        <v>132</v>
      </c>
      <c r="B2" s="76"/>
    </row>
    <row r="3" spans="1:53" ht="13.5" customHeight="1">
      <c r="A3" s="73" t="s">
        <v>133</v>
      </c>
    </row>
    <row r="4" spans="1:53" s="78" customFormat="1" ht="13.5" customHeight="1">
      <c r="A4" s="21" t="s">
        <v>134</v>
      </c>
      <c r="B4" s="77"/>
      <c r="AJ4" s="73"/>
      <c r="AK4" s="30"/>
      <c r="AL4" s="30"/>
      <c r="AM4" s="30"/>
      <c r="AN4" s="30"/>
      <c r="AO4" s="30"/>
      <c r="AP4" s="30"/>
      <c r="AQ4" s="30"/>
      <c r="AR4" s="30"/>
    </row>
    <row r="5" spans="1:53" s="78" customFormat="1" ht="13.5" customHeight="1">
      <c r="A5" s="178" t="s">
        <v>25</v>
      </c>
      <c r="B5" s="179"/>
      <c r="C5" s="79" t="s">
        <v>44</v>
      </c>
      <c r="D5" s="79" t="s">
        <v>45</v>
      </c>
      <c r="E5" s="79" t="s">
        <v>46</v>
      </c>
      <c r="F5" s="80" t="s">
        <v>47</v>
      </c>
      <c r="G5" s="81" t="s">
        <v>48</v>
      </c>
      <c r="H5" s="81" t="s">
        <v>49</v>
      </c>
      <c r="I5" s="81" t="s">
        <v>50</v>
      </c>
      <c r="J5" s="81" t="s">
        <v>51</v>
      </c>
      <c r="K5" s="81" t="s">
        <v>52</v>
      </c>
      <c r="L5" s="81" t="s">
        <v>53</v>
      </c>
      <c r="M5" s="81" t="s">
        <v>55</v>
      </c>
      <c r="N5" s="81" t="s">
        <v>57</v>
      </c>
      <c r="O5" s="81" t="s">
        <v>59</v>
      </c>
      <c r="P5" s="81" t="s">
        <v>60</v>
      </c>
      <c r="Q5" s="81" t="s">
        <v>61</v>
      </c>
      <c r="R5" s="81" t="s">
        <v>63</v>
      </c>
      <c r="S5" s="81" t="s">
        <v>65</v>
      </c>
      <c r="T5" s="81" t="s">
        <v>66</v>
      </c>
      <c r="U5" s="81" t="s">
        <v>68</v>
      </c>
      <c r="V5" s="81" t="s">
        <v>69</v>
      </c>
      <c r="W5" s="81" t="s">
        <v>71</v>
      </c>
      <c r="X5" s="81" t="s">
        <v>72</v>
      </c>
      <c r="Y5" s="81" t="s">
        <v>73</v>
      </c>
      <c r="Z5" s="81" t="s">
        <v>74</v>
      </c>
      <c r="AA5" s="81" t="s">
        <v>75</v>
      </c>
      <c r="AB5" s="81" t="s">
        <v>77</v>
      </c>
      <c r="AC5" s="81" t="s">
        <v>78</v>
      </c>
      <c r="AD5" s="81" t="s">
        <v>79</v>
      </c>
      <c r="AE5" s="81" t="s">
        <v>81</v>
      </c>
      <c r="AF5" s="81" t="s">
        <v>82</v>
      </c>
      <c r="AG5" s="81" t="s">
        <v>84</v>
      </c>
      <c r="AH5" s="81" t="s">
        <v>86</v>
      </c>
      <c r="AI5" s="81" t="s">
        <v>88</v>
      </c>
      <c r="AJ5" s="82" t="s">
        <v>98</v>
      </c>
      <c r="AK5" s="81" t="s">
        <v>99</v>
      </c>
      <c r="AL5" s="81" t="s">
        <v>100</v>
      </c>
      <c r="AM5" s="81" t="s">
        <v>101</v>
      </c>
      <c r="AN5" s="81" t="s">
        <v>102</v>
      </c>
      <c r="AO5" s="81" t="s">
        <v>103</v>
      </c>
      <c r="AP5" s="81" t="s">
        <v>104</v>
      </c>
      <c r="AQ5" s="81" t="s">
        <v>105</v>
      </c>
      <c r="AR5" s="82" t="s">
        <v>106</v>
      </c>
      <c r="AS5" s="83" t="s">
        <v>107</v>
      </c>
      <c r="AT5" s="84" t="s">
        <v>108</v>
      </c>
      <c r="AU5" s="81" t="s">
        <v>109</v>
      </c>
      <c r="AV5" s="81" t="s">
        <v>110</v>
      </c>
      <c r="AW5" s="81" t="s">
        <v>111</v>
      </c>
      <c r="AX5" s="81" t="s">
        <v>112</v>
      </c>
      <c r="AY5" s="81" t="s">
        <v>113</v>
      </c>
      <c r="AZ5" s="83" t="s">
        <v>114</v>
      </c>
    </row>
    <row r="6" spans="1:53" ht="39.950000000000003" customHeight="1">
      <c r="A6" s="180"/>
      <c r="B6" s="181"/>
      <c r="C6" s="85" t="s">
        <v>2</v>
      </c>
      <c r="D6" s="85" t="s">
        <v>3</v>
      </c>
      <c r="E6" s="85" t="s">
        <v>4</v>
      </c>
      <c r="F6" s="85" t="s">
        <v>5</v>
      </c>
      <c r="G6" s="85" t="s">
        <v>6</v>
      </c>
      <c r="H6" s="85" t="s">
        <v>7</v>
      </c>
      <c r="I6" s="85" t="s">
        <v>8</v>
      </c>
      <c r="J6" s="85" t="s">
        <v>9</v>
      </c>
      <c r="K6" s="85" t="s">
        <v>10</v>
      </c>
      <c r="L6" s="85" t="s">
        <v>54</v>
      </c>
      <c r="M6" s="85" t="s">
        <v>56</v>
      </c>
      <c r="N6" s="85" t="s">
        <v>58</v>
      </c>
      <c r="O6" s="85" t="s">
        <v>11</v>
      </c>
      <c r="P6" s="85" t="s">
        <v>12</v>
      </c>
      <c r="Q6" s="85" t="s">
        <v>135</v>
      </c>
      <c r="R6" s="85" t="s">
        <v>64</v>
      </c>
      <c r="S6" s="85" t="s">
        <v>13</v>
      </c>
      <c r="T6" s="85" t="s">
        <v>67</v>
      </c>
      <c r="U6" s="85" t="s">
        <v>14</v>
      </c>
      <c r="V6" s="85" t="s">
        <v>70</v>
      </c>
      <c r="W6" s="85" t="s">
        <v>42</v>
      </c>
      <c r="X6" s="85" t="s">
        <v>15</v>
      </c>
      <c r="Y6" s="85" t="s">
        <v>136</v>
      </c>
      <c r="Z6" s="85" t="s">
        <v>137</v>
      </c>
      <c r="AA6" s="85" t="s">
        <v>76</v>
      </c>
      <c r="AB6" s="85" t="s">
        <v>43</v>
      </c>
      <c r="AC6" s="85" t="s">
        <v>18</v>
      </c>
      <c r="AD6" s="85" t="s">
        <v>80</v>
      </c>
      <c r="AE6" s="85" t="s">
        <v>19</v>
      </c>
      <c r="AF6" s="85" t="s">
        <v>138</v>
      </c>
      <c r="AG6" s="85" t="s">
        <v>85</v>
      </c>
      <c r="AH6" s="85" t="s">
        <v>87</v>
      </c>
      <c r="AI6" s="85" t="s">
        <v>89</v>
      </c>
      <c r="AJ6" s="86" t="s">
        <v>26</v>
      </c>
      <c r="AK6" s="87" t="s">
        <v>38</v>
      </c>
      <c r="AL6" s="85" t="s">
        <v>27</v>
      </c>
      <c r="AM6" s="85" t="s">
        <v>28</v>
      </c>
      <c r="AN6" s="85" t="s">
        <v>29</v>
      </c>
      <c r="AO6" s="85" t="s">
        <v>30</v>
      </c>
      <c r="AP6" s="85" t="s">
        <v>31</v>
      </c>
      <c r="AQ6" s="85" t="s">
        <v>32</v>
      </c>
      <c r="AR6" s="86" t="s">
        <v>33</v>
      </c>
      <c r="AS6" s="88" t="s">
        <v>34</v>
      </c>
      <c r="AT6" s="89" t="s">
        <v>0</v>
      </c>
      <c r="AU6" s="85" t="s">
        <v>1</v>
      </c>
      <c r="AV6" s="85" t="s">
        <v>35</v>
      </c>
      <c r="AW6" s="87" t="s">
        <v>90</v>
      </c>
      <c r="AX6" s="85" t="s">
        <v>36</v>
      </c>
      <c r="AY6" s="85" t="s">
        <v>37</v>
      </c>
      <c r="AZ6" s="90" t="s">
        <v>40</v>
      </c>
      <c r="BA6" s="73" t="s">
        <v>146</v>
      </c>
    </row>
    <row r="7" spans="1:53" ht="13.5" customHeight="1">
      <c r="A7" s="72" t="s">
        <v>44</v>
      </c>
      <c r="B7" s="77" t="s">
        <v>2</v>
      </c>
      <c r="C7" s="38">
        <v>4256311</v>
      </c>
      <c r="D7" s="38">
        <v>3473</v>
      </c>
      <c r="E7" s="38">
        <v>44787107</v>
      </c>
      <c r="F7" s="38">
        <v>264444</v>
      </c>
      <c r="G7" s="38">
        <v>661849</v>
      </c>
      <c r="H7" s="38">
        <v>4203</v>
      </c>
      <c r="I7" s="38">
        <v>1326559</v>
      </c>
      <c r="J7" s="38">
        <v>3614</v>
      </c>
      <c r="K7" s="38">
        <v>6461</v>
      </c>
      <c r="L7" s="38">
        <v>7383</v>
      </c>
      <c r="M7" s="38">
        <v>7338</v>
      </c>
      <c r="N7" s="38">
        <v>2082</v>
      </c>
      <c r="O7" s="38">
        <v>6967</v>
      </c>
      <c r="P7" s="38">
        <v>2432</v>
      </c>
      <c r="Q7" s="38">
        <v>14838</v>
      </c>
      <c r="R7" s="38">
        <v>542287</v>
      </c>
      <c r="S7" s="38">
        <v>3751</v>
      </c>
      <c r="T7" s="38">
        <v>12739</v>
      </c>
      <c r="U7" s="38">
        <v>403188</v>
      </c>
      <c r="V7" s="38">
        <v>103863</v>
      </c>
      <c r="W7" s="38">
        <v>13100</v>
      </c>
      <c r="X7" s="38">
        <v>13418941</v>
      </c>
      <c r="Y7" s="38">
        <v>14422</v>
      </c>
      <c r="Z7" s="38">
        <v>11833</v>
      </c>
      <c r="AA7" s="38">
        <v>7087</v>
      </c>
      <c r="AB7" s="38">
        <v>72958</v>
      </c>
      <c r="AC7" s="38">
        <v>20574</v>
      </c>
      <c r="AD7" s="38">
        <v>333297</v>
      </c>
      <c r="AE7" s="38">
        <v>716622</v>
      </c>
      <c r="AF7" s="38">
        <v>904970</v>
      </c>
      <c r="AG7" s="38">
        <v>72052</v>
      </c>
      <c r="AH7" s="38">
        <v>72609</v>
      </c>
      <c r="AI7" s="38">
        <v>3405</v>
      </c>
      <c r="AJ7" s="26">
        <v>68082759</v>
      </c>
      <c r="AK7" s="38">
        <v>20977330</v>
      </c>
      <c r="AL7" s="38">
        <v>0</v>
      </c>
      <c r="AM7" s="38">
        <v>1005548</v>
      </c>
      <c r="AN7" s="38">
        <v>708</v>
      </c>
      <c r="AO7" s="38">
        <v>-196797</v>
      </c>
      <c r="AP7" s="38">
        <v>0</v>
      </c>
      <c r="AQ7" s="38">
        <v>1148216</v>
      </c>
      <c r="AR7" s="26">
        <v>22935005</v>
      </c>
      <c r="AS7" s="27">
        <v>91017764</v>
      </c>
      <c r="AT7" s="42">
        <v>74068069</v>
      </c>
      <c r="AU7" s="38">
        <v>16390900</v>
      </c>
      <c r="AV7" s="38">
        <v>558795</v>
      </c>
      <c r="AW7" s="38">
        <v>16949695</v>
      </c>
      <c r="AX7" s="38">
        <v>0</v>
      </c>
      <c r="AY7" s="38">
        <v>0</v>
      </c>
      <c r="AZ7" s="27">
        <v>91017764</v>
      </c>
      <c r="BA7" s="123"/>
    </row>
    <row r="8" spans="1:53" ht="13.5" customHeight="1">
      <c r="A8" s="72" t="s">
        <v>45</v>
      </c>
      <c r="B8" s="77" t="s">
        <v>3</v>
      </c>
      <c r="C8" s="38">
        <v>2055</v>
      </c>
      <c r="D8" s="38">
        <v>2999</v>
      </c>
      <c r="E8" s="38">
        <v>48702</v>
      </c>
      <c r="F8" s="38">
        <v>3592</v>
      </c>
      <c r="G8" s="38">
        <v>35023</v>
      </c>
      <c r="H8" s="38">
        <v>108067377</v>
      </c>
      <c r="I8" s="38">
        <v>8679207</v>
      </c>
      <c r="J8" s="38">
        <v>5208178</v>
      </c>
      <c r="K8" s="38">
        <v>33232955</v>
      </c>
      <c r="L8" s="38">
        <v>40482</v>
      </c>
      <c r="M8" s="38">
        <v>37583</v>
      </c>
      <c r="N8" s="38">
        <v>8789</v>
      </c>
      <c r="O8" s="38">
        <v>16354</v>
      </c>
      <c r="P8" s="38">
        <v>5802</v>
      </c>
      <c r="Q8" s="38">
        <v>3785</v>
      </c>
      <c r="R8" s="38">
        <v>76904</v>
      </c>
      <c r="S8" s="38">
        <v>68593275</v>
      </c>
      <c r="T8" s="38">
        <v>53587</v>
      </c>
      <c r="U8" s="38">
        <v>278992</v>
      </c>
      <c r="V8" s="38">
        <v>0</v>
      </c>
      <c r="W8" s="38">
        <v>0</v>
      </c>
      <c r="X8" s="38">
        <v>15310</v>
      </c>
      <c r="Y8" s="38">
        <v>0</v>
      </c>
      <c r="Z8" s="38">
        <v>0</v>
      </c>
      <c r="AA8" s="38">
        <v>141</v>
      </c>
      <c r="AB8" s="38">
        <v>17244</v>
      </c>
      <c r="AC8" s="38">
        <v>13414</v>
      </c>
      <c r="AD8" s="38">
        <v>16766</v>
      </c>
      <c r="AE8" s="38">
        <v>1073</v>
      </c>
      <c r="AF8" s="38">
        <v>16722</v>
      </c>
      <c r="AG8" s="38">
        <v>2420</v>
      </c>
      <c r="AH8" s="38">
        <v>2421</v>
      </c>
      <c r="AI8" s="38">
        <v>34</v>
      </c>
      <c r="AJ8" s="26">
        <v>224481186</v>
      </c>
      <c r="AK8" s="38">
        <v>20312</v>
      </c>
      <c r="AL8" s="38">
        <v>0</v>
      </c>
      <c r="AM8" s="38">
        <v>0</v>
      </c>
      <c r="AN8" s="38">
        <v>0</v>
      </c>
      <c r="AO8" s="38">
        <v>-1208060</v>
      </c>
      <c r="AP8" s="38">
        <v>0</v>
      </c>
      <c r="AQ8" s="38">
        <v>164539</v>
      </c>
      <c r="AR8" s="26">
        <v>-1023209</v>
      </c>
      <c r="AS8" s="27">
        <v>223457977</v>
      </c>
      <c r="AT8" s="42">
        <v>5326597</v>
      </c>
      <c r="AU8" s="38">
        <v>213114501</v>
      </c>
      <c r="AV8" s="38">
        <v>5016879</v>
      </c>
      <c r="AW8" s="38">
        <v>218131380</v>
      </c>
      <c r="AX8" s="38">
        <v>0</v>
      </c>
      <c r="AY8" s="38">
        <v>0</v>
      </c>
      <c r="AZ8" s="27">
        <v>223457977</v>
      </c>
      <c r="BA8" s="123"/>
    </row>
    <row r="9" spans="1:53" ht="13.5" customHeight="1">
      <c r="A9" s="72" t="s">
        <v>46</v>
      </c>
      <c r="B9" s="77" t="s">
        <v>4</v>
      </c>
      <c r="C9" s="38">
        <v>13490896</v>
      </c>
      <c r="D9" s="38">
        <v>16188</v>
      </c>
      <c r="E9" s="38">
        <v>37267582</v>
      </c>
      <c r="F9" s="38">
        <v>1267831</v>
      </c>
      <c r="G9" s="38">
        <v>87762</v>
      </c>
      <c r="H9" s="38">
        <v>29747</v>
      </c>
      <c r="I9" s="38">
        <v>1948954</v>
      </c>
      <c r="J9" s="38">
        <v>32354</v>
      </c>
      <c r="K9" s="38">
        <v>78230</v>
      </c>
      <c r="L9" s="38">
        <v>106035</v>
      </c>
      <c r="M9" s="38">
        <v>28458</v>
      </c>
      <c r="N9" s="38">
        <v>23722</v>
      </c>
      <c r="O9" s="38">
        <v>80841</v>
      </c>
      <c r="P9" s="38">
        <v>-15144</v>
      </c>
      <c r="Q9" s="38">
        <v>10976</v>
      </c>
      <c r="R9" s="38">
        <v>642150</v>
      </c>
      <c r="S9" s="38">
        <v>1667262</v>
      </c>
      <c r="T9" s="38">
        <v>75594</v>
      </c>
      <c r="U9" s="38">
        <v>29879</v>
      </c>
      <c r="V9" s="38">
        <v>2137267</v>
      </c>
      <c r="W9" s="38">
        <v>237559</v>
      </c>
      <c r="X9" s="38">
        <v>62634265</v>
      </c>
      <c r="Y9" s="38">
        <v>321736</v>
      </c>
      <c r="Z9" s="38">
        <v>166231</v>
      </c>
      <c r="AA9" s="38">
        <v>20690</v>
      </c>
      <c r="AB9" s="38">
        <v>1680284</v>
      </c>
      <c r="AC9" s="38">
        <v>730059</v>
      </c>
      <c r="AD9" s="38">
        <v>1178818</v>
      </c>
      <c r="AE9" s="38">
        <v>3190985</v>
      </c>
      <c r="AF9" s="38">
        <v>3326884</v>
      </c>
      <c r="AG9" s="38">
        <v>2766615</v>
      </c>
      <c r="AH9" s="38">
        <v>1099495</v>
      </c>
      <c r="AI9" s="38">
        <v>54767</v>
      </c>
      <c r="AJ9" s="26">
        <v>136414972</v>
      </c>
      <c r="AK9" s="38">
        <v>79996863</v>
      </c>
      <c r="AL9" s="38">
        <v>0</v>
      </c>
      <c r="AM9" s="38">
        <v>0</v>
      </c>
      <c r="AN9" s="38">
        <v>0</v>
      </c>
      <c r="AO9" s="38">
        <v>-312055</v>
      </c>
      <c r="AP9" s="38">
        <v>0</v>
      </c>
      <c r="AQ9" s="38">
        <v>13216832</v>
      </c>
      <c r="AR9" s="26">
        <v>92901640</v>
      </c>
      <c r="AS9" s="27">
        <v>229316612</v>
      </c>
      <c r="AT9" s="42">
        <v>182394945</v>
      </c>
      <c r="AU9" s="38">
        <v>42877588</v>
      </c>
      <c r="AV9" s="38">
        <v>4044079</v>
      </c>
      <c r="AW9" s="38">
        <v>46921667</v>
      </c>
      <c r="AX9" s="38">
        <v>0</v>
      </c>
      <c r="AY9" s="38">
        <v>0</v>
      </c>
      <c r="AZ9" s="27">
        <v>229316612</v>
      </c>
      <c r="BA9" s="123"/>
    </row>
    <row r="10" spans="1:53" ht="13.5" customHeight="1">
      <c r="A10" s="72" t="s">
        <v>47</v>
      </c>
      <c r="B10" s="77" t="s">
        <v>5</v>
      </c>
      <c r="C10" s="38">
        <v>690669</v>
      </c>
      <c r="D10" s="38">
        <v>18761</v>
      </c>
      <c r="E10" s="38">
        <v>152583</v>
      </c>
      <c r="F10" s="38">
        <v>21941986</v>
      </c>
      <c r="G10" s="38">
        <v>610886</v>
      </c>
      <c r="H10" s="38">
        <v>100196</v>
      </c>
      <c r="I10" s="38">
        <v>1674120</v>
      </c>
      <c r="J10" s="38">
        <v>167311</v>
      </c>
      <c r="K10" s="38">
        <v>181532</v>
      </c>
      <c r="L10" s="38">
        <v>398657</v>
      </c>
      <c r="M10" s="38">
        <v>396591</v>
      </c>
      <c r="N10" s="38">
        <v>175855</v>
      </c>
      <c r="O10" s="38">
        <v>148702</v>
      </c>
      <c r="P10" s="38">
        <v>1234584</v>
      </c>
      <c r="Q10" s="38">
        <v>1704538</v>
      </c>
      <c r="R10" s="38">
        <v>2681541</v>
      </c>
      <c r="S10" s="38">
        <v>46471</v>
      </c>
      <c r="T10" s="38">
        <v>260471</v>
      </c>
      <c r="U10" s="38">
        <v>183767</v>
      </c>
      <c r="V10" s="38">
        <v>1793848</v>
      </c>
      <c r="W10" s="38">
        <v>1945331</v>
      </c>
      <c r="X10" s="38">
        <v>1580633</v>
      </c>
      <c r="Y10" s="38">
        <v>250655</v>
      </c>
      <c r="Z10" s="38">
        <v>107312</v>
      </c>
      <c r="AA10" s="38">
        <v>175614</v>
      </c>
      <c r="AB10" s="38">
        <v>554339</v>
      </c>
      <c r="AC10" s="38">
        <v>1178436</v>
      </c>
      <c r="AD10" s="38">
        <v>689348</v>
      </c>
      <c r="AE10" s="38">
        <v>212655</v>
      </c>
      <c r="AF10" s="38">
        <v>919104</v>
      </c>
      <c r="AG10" s="38">
        <v>556457</v>
      </c>
      <c r="AH10" s="38">
        <v>863694</v>
      </c>
      <c r="AI10" s="38">
        <v>17447</v>
      </c>
      <c r="AJ10" s="26">
        <v>43614094</v>
      </c>
      <c r="AK10" s="38">
        <v>44692848</v>
      </c>
      <c r="AL10" s="38">
        <v>0</v>
      </c>
      <c r="AM10" s="38">
        <v>99316</v>
      </c>
      <c r="AN10" s="38">
        <v>49995</v>
      </c>
      <c r="AO10" s="38">
        <v>238347</v>
      </c>
      <c r="AP10" s="38">
        <v>0</v>
      </c>
      <c r="AQ10" s="38">
        <v>20177963</v>
      </c>
      <c r="AR10" s="26">
        <v>65258469</v>
      </c>
      <c r="AS10" s="27">
        <v>108872563</v>
      </c>
      <c r="AT10" s="42">
        <v>70160146</v>
      </c>
      <c r="AU10" s="38">
        <v>35870234</v>
      </c>
      <c r="AV10" s="38">
        <v>2842183</v>
      </c>
      <c r="AW10" s="38">
        <v>38712417</v>
      </c>
      <c r="AX10" s="38">
        <v>0</v>
      </c>
      <c r="AY10" s="38">
        <v>0</v>
      </c>
      <c r="AZ10" s="27">
        <v>108872563</v>
      </c>
      <c r="BA10" s="123"/>
    </row>
    <row r="11" spans="1:53" ht="13.5" customHeight="1">
      <c r="A11" s="72" t="s">
        <v>48</v>
      </c>
      <c r="B11" s="77" t="s">
        <v>6</v>
      </c>
      <c r="C11" s="38">
        <v>866017</v>
      </c>
      <c r="D11" s="38">
        <v>11121</v>
      </c>
      <c r="E11" s="38">
        <v>3715108</v>
      </c>
      <c r="F11" s="38">
        <v>415547</v>
      </c>
      <c r="G11" s="38">
        <v>17244503</v>
      </c>
      <c r="H11" s="38">
        <v>134210</v>
      </c>
      <c r="I11" s="38">
        <v>1997375</v>
      </c>
      <c r="J11" s="38">
        <v>426375</v>
      </c>
      <c r="K11" s="38">
        <v>243459</v>
      </c>
      <c r="L11" s="38">
        <v>1061021</v>
      </c>
      <c r="M11" s="38">
        <v>295987</v>
      </c>
      <c r="N11" s="38">
        <v>571350</v>
      </c>
      <c r="O11" s="38">
        <v>353312</v>
      </c>
      <c r="P11" s="38">
        <v>120280</v>
      </c>
      <c r="Q11" s="38">
        <v>1901882</v>
      </c>
      <c r="R11" s="38">
        <v>408384</v>
      </c>
      <c r="S11" s="38">
        <v>792752</v>
      </c>
      <c r="T11" s="38">
        <v>-6870</v>
      </c>
      <c r="U11" s="38">
        <v>6049727</v>
      </c>
      <c r="V11" s="38">
        <v>4278205</v>
      </c>
      <c r="W11" s="38">
        <v>1476571</v>
      </c>
      <c r="X11" s="38">
        <v>2137353</v>
      </c>
      <c r="Y11" s="38">
        <v>2006707</v>
      </c>
      <c r="Z11" s="38">
        <v>1592341</v>
      </c>
      <c r="AA11" s="38">
        <v>227894</v>
      </c>
      <c r="AB11" s="38">
        <v>5069685</v>
      </c>
      <c r="AC11" s="38">
        <v>631911</v>
      </c>
      <c r="AD11" s="38">
        <v>913133</v>
      </c>
      <c r="AE11" s="38">
        <v>960333</v>
      </c>
      <c r="AF11" s="38">
        <v>1291250</v>
      </c>
      <c r="AG11" s="38">
        <v>308585</v>
      </c>
      <c r="AH11" s="38">
        <v>831503</v>
      </c>
      <c r="AI11" s="38">
        <v>9881</v>
      </c>
      <c r="AJ11" s="26">
        <v>58336892</v>
      </c>
      <c r="AK11" s="38">
        <v>1990283</v>
      </c>
      <c r="AL11" s="38">
        <v>0</v>
      </c>
      <c r="AM11" s="38">
        <v>0</v>
      </c>
      <c r="AN11" s="38">
        <v>0</v>
      </c>
      <c r="AO11" s="38">
        <v>247498</v>
      </c>
      <c r="AP11" s="38">
        <v>0</v>
      </c>
      <c r="AQ11" s="38">
        <v>4630328</v>
      </c>
      <c r="AR11" s="26">
        <v>6868109</v>
      </c>
      <c r="AS11" s="27">
        <v>65205001</v>
      </c>
      <c r="AT11" s="42">
        <v>56014686</v>
      </c>
      <c r="AU11" s="38">
        <v>8967588</v>
      </c>
      <c r="AV11" s="38">
        <v>222727</v>
      </c>
      <c r="AW11" s="38">
        <v>9190315</v>
      </c>
      <c r="AX11" s="38">
        <v>0</v>
      </c>
      <c r="AY11" s="38">
        <v>0</v>
      </c>
      <c r="AZ11" s="27">
        <v>65205001</v>
      </c>
      <c r="BA11" s="123"/>
    </row>
    <row r="12" spans="1:53" ht="13.5" customHeight="1">
      <c r="A12" s="72" t="s">
        <v>49</v>
      </c>
      <c r="B12" s="77" t="s">
        <v>7</v>
      </c>
      <c r="C12" s="38">
        <v>1553720</v>
      </c>
      <c r="D12" s="38">
        <v>127562</v>
      </c>
      <c r="E12" s="38">
        <v>368746</v>
      </c>
      <c r="F12" s="38">
        <v>182073</v>
      </c>
      <c r="G12" s="38">
        <v>306192</v>
      </c>
      <c r="H12" s="38">
        <v>8485744</v>
      </c>
      <c r="I12" s="38">
        <v>43895247</v>
      </c>
      <c r="J12" s="38">
        <v>2409467</v>
      </c>
      <c r="K12" s="38">
        <v>721361</v>
      </c>
      <c r="L12" s="38">
        <v>527953</v>
      </c>
      <c r="M12" s="38">
        <v>108255</v>
      </c>
      <c r="N12" s="38">
        <v>512348</v>
      </c>
      <c r="O12" s="38">
        <v>337756</v>
      </c>
      <c r="P12" s="38">
        <v>472866</v>
      </c>
      <c r="Q12" s="38">
        <v>45874</v>
      </c>
      <c r="R12" s="38">
        <v>1013019</v>
      </c>
      <c r="S12" s="38">
        <v>4111860</v>
      </c>
      <c r="T12" s="38">
        <v>690962</v>
      </c>
      <c r="U12" s="38">
        <v>4687554</v>
      </c>
      <c r="V12" s="38">
        <v>9503880</v>
      </c>
      <c r="W12" s="38">
        <v>24628899</v>
      </c>
      <c r="X12" s="38">
        <v>3477744</v>
      </c>
      <c r="Y12" s="38">
        <v>404311</v>
      </c>
      <c r="Z12" s="38">
        <v>146259</v>
      </c>
      <c r="AA12" s="38">
        <v>918026</v>
      </c>
      <c r="AB12" s="38">
        <v>4380042</v>
      </c>
      <c r="AC12" s="38">
        <v>918546</v>
      </c>
      <c r="AD12" s="38">
        <v>3355174</v>
      </c>
      <c r="AE12" s="38">
        <v>2599025</v>
      </c>
      <c r="AF12" s="38">
        <v>1564184</v>
      </c>
      <c r="AG12" s="38">
        <v>353775</v>
      </c>
      <c r="AH12" s="38">
        <v>1093548</v>
      </c>
      <c r="AI12" s="38">
        <v>22523</v>
      </c>
      <c r="AJ12" s="26">
        <v>123924495</v>
      </c>
      <c r="AK12" s="38">
        <v>20010215</v>
      </c>
      <c r="AL12" s="38">
        <v>0</v>
      </c>
      <c r="AM12" s="38">
        <v>0</v>
      </c>
      <c r="AN12" s="38">
        <v>0</v>
      </c>
      <c r="AO12" s="38">
        <v>685143</v>
      </c>
      <c r="AP12" s="38">
        <v>0</v>
      </c>
      <c r="AQ12" s="38">
        <v>77066088</v>
      </c>
      <c r="AR12" s="26">
        <v>97761446</v>
      </c>
      <c r="AS12" s="27">
        <v>221685941</v>
      </c>
      <c r="AT12" s="42">
        <v>176562966</v>
      </c>
      <c r="AU12" s="38">
        <v>44170694</v>
      </c>
      <c r="AV12" s="38">
        <v>952281</v>
      </c>
      <c r="AW12" s="38">
        <v>45122975</v>
      </c>
      <c r="AX12" s="38">
        <v>0</v>
      </c>
      <c r="AY12" s="38">
        <v>0</v>
      </c>
      <c r="AZ12" s="27">
        <v>221685941</v>
      </c>
      <c r="BA12" s="123"/>
    </row>
    <row r="13" spans="1:53" ht="13.5" customHeight="1">
      <c r="A13" s="72" t="s">
        <v>50</v>
      </c>
      <c r="B13" s="77" t="s">
        <v>8</v>
      </c>
      <c r="C13" s="38">
        <v>5335756</v>
      </c>
      <c r="D13" s="38">
        <v>219298</v>
      </c>
      <c r="E13" s="38">
        <v>4720446</v>
      </c>
      <c r="F13" s="38">
        <v>6819729</v>
      </c>
      <c r="G13" s="38">
        <v>3803170</v>
      </c>
      <c r="H13" s="38">
        <v>3537795</v>
      </c>
      <c r="I13" s="38">
        <v>129362837</v>
      </c>
      <c r="J13" s="38">
        <v>2543485</v>
      </c>
      <c r="K13" s="38">
        <v>3102895</v>
      </c>
      <c r="L13" s="38">
        <v>9009090</v>
      </c>
      <c r="M13" s="38">
        <v>20188581</v>
      </c>
      <c r="N13" s="38">
        <v>17404850</v>
      </c>
      <c r="O13" s="38">
        <v>5570490</v>
      </c>
      <c r="P13" s="38">
        <v>21793941</v>
      </c>
      <c r="Q13" s="38">
        <v>2998181</v>
      </c>
      <c r="R13" s="38">
        <v>1983061</v>
      </c>
      <c r="S13" s="38">
        <v>2417171</v>
      </c>
      <c r="T13" s="38">
        <v>2164833</v>
      </c>
      <c r="U13" s="38">
        <v>12222208</v>
      </c>
      <c r="V13" s="38">
        <v>5288979</v>
      </c>
      <c r="W13" s="38">
        <v>1560674</v>
      </c>
      <c r="X13" s="38">
        <v>4858345</v>
      </c>
      <c r="Y13" s="38">
        <v>812354</v>
      </c>
      <c r="Z13" s="38">
        <v>121602</v>
      </c>
      <c r="AA13" s="38">
        <v>277568</v>
      </c>
      <c r="AB13" s="38">
        <v>10278206</v>
      </c>
      <c r="AC13" s="38">
        <v>3992188</v>
      </c>
      <c r="AD13" s="38">
        <v>1614775</v>
      </c>
      <c r="AE13" s="38">
        <v>1270286</v>
      </c>
      <c r="AF13" s="38">
        <v>32946431</v>
      </c>
      <c r="AG13" s="38">
        <v>758170</v>
      </c>
      <c r="AH13" s="38">
        <v>3728706</v>
      </c>
      <c r="AI13" s="38">
        <v>31956</v>
      </c>
      <c r="AJ13" s="26">
        <v>322738057</v>
      </c>
      <c r="AK13" s="38">
        <v>16391860</v>
      </c>
      <c r="AL13" s="38">
        <v>0</v>
      </c>
      <c r="AM13" s="38">
        <v>0</v>
      </c>
      <c r="AN13" s="38">
        <v>0</v>
      </c>
      <c r="AO13" s="38">
        <v>2035871</v>
      </c>
      <c r="AP13" s="38">
        <v>0</v>
      </c>
      <c r="AQ13" s="38">
        <v>141937188</v>
      </c>
      <c r="AR13" s="26">
        <v>160364919</v>
      </c>
      <c r="AS13" s="27">
        <v>483102976</v>
      </c>
      <c r="AT13" s="42">
        <v>376626218</v>
      </c>
      <c r="AU13" s="38">
        <v>104125789</v>
      </c>
      <c r="AV13" s="38">
        <v>2350969</v>
      </c>
      <c r="AW13" s="38">
        <v>106476758</v>
      </c>
      <c r="AX13" s="38">
        <v>0</v>
      </c>
      <c r="AY13" s="38">
        <v>0</v>
      </c>
      <c r="AZ13" s="27">
        <v>483102976</v>
      </c>
      <c r="BA13" s="123"/>
    </row>
    <row r="14" spans="1:53" ht="13.5" customHeight="1">
      <c r="A14" s="72" t="s">
        <v>51</v>
      </c>
      <c r="B14" s="77" t="s">
        <v>9</v>
      </c>
      <c r="C14" s="38">
        <v>36617</v>
      </c>
      <c r="D14" s="38">
        <v>8918</v>
      </c>
      <c r="E14" s="38">
        <v>905256</v>
      </c>
      <c r="F14" s="38">
        <v>41584</v>
      </c>
      <c r="G14" s="38">
        <v>59557</v>
      </c>
      <c r="H14" s="38">
        <v>153911</v>
      </c>
      <c r="I14" s="38">
        <v>1621305</v>
      </c>
      <c r="J14" s="38">
        <v>7622593</v>
      </c>
      <c r="K14" s="38">
        <v>3265699</v>
      </c>
      <c r="L14" s="38">
        <v>612991</v>
      </c>
      <c r="M14" s="38">
        <v>1987167</v>
      </c>
      <c r="N14" s="38">
        <v>1806637</v>
      </c>
      <c r="O14" s="38">
        <v>511290</v>
      </c>
      <c r="P14" s="38">
        <v>2300485</v>
      </c>
      <c r="Q14" s="38">
        <v>257029</v>
      </c>
      <c r="R14" s="38">
        <v>203556</v>
      </c>
      <c r="S14" s="38">
        <v>-152005</v>
      </c>
      <c r="T14" s="38">
        <v>187593</v>
      </c>
      <c r="U14" s="38">
        <v>29763706</v>
      </c>
      <c r="V14" s="38">
        <v>119481</v>
      </c>
      <c r="W14" s="38">
        <v>76745</v>
      </c>
      <c r="X14" s="38">
        <v>742147</v>
      </c>
      <c r="Y14" s="38">
        <v>13661</v>
      </c>
      <c r="Z14" s="38">
        <v>3896</v>
      </c>
      <c r="AA14" s="38">
        <v>84202</v>
      </c>
      <c r="AB14" s="38">
        <v>340999</v>
      </c>
      <c r="AC14" s="38">
        <v>226159</v>
      </c>
      <c r="AD14" s="38">
        <v>331107</v>
      </c>
      <c r="AE14" s="38">
        <v>142765</v>
      </c>
      <c r="AF14" s="38">
        <v>71373</v>
      </c>
      <c r="AG14" s="38">
        <v>141732</v>
      </c>
      <c r="AH14" s="38">
        <v>56146</v>
      </c>
      <c r="AI14" s="38">
        <v>4568</v>
      </c>
      <c r="AJ14" s="26">
        <v>53548870</v>
      </c>
      <c r="AK14" s="38">
        <v>181273</v>
      </c>
      <c r="AL14" s="38">
        <v>0</v>
      </c>
      <c r="AM14" s="38">
        <v>0</v>
      </c>
      <c r="AN14" s="38">
        <v>0</v>
      </c>
      <c r="AO14" s="38">
        <v>187387</v>
      </c>
      <c r="AP14" s="38">
        <v>0</v>
      </c>
      <c r="AQ14" s="38">
        <v>4781328</v>
      </c>
      <c r="AR14" s="26">
        <v>5149988</v>
      </c>
      <c r="AS14" s="27">
        <v>58698858</v>
      </c>
      <c r="AT14" s="42">
        <v>50827524</v>
      </c>
      <c r="AU14" s="38">
        <v>7600425</v>
      </c>
      <c r="AV14" s="38">
        <v>270909</v>
      </c>
      <c r="AW14" s="38">
        <v>7871334</v>
      </c>
      <c r="AX14" s="38">
        <v>0</v>
      </c>
      <c r="AY14" s="38">
        <v>0</v>
      </c>
      <c r="AZ14" s="27">
        <v>58698858</v>
      </c>
      <c r="BA14" s="123"/>
    </row>
    <row r="15" spans="1:53" ht="13.5" customHeight="1">
      <c r="A15" s="72" t="s">
        <v>52</v>
      </c>
      <c r="B15" s="77" t="s">
        <v>10</v>
      </c>
      <c r="C15" s="38">
        <v>91111</v>
      </c>
      <c r="D15" s="38">
        <v>8196</v>
      </c>
      <c r="E15" s="38">
        <v>26239</v>
      </c>
      <c r="F15" s="38">
        <v>2697</v>
      </c>
      <c r="G15" s="38">
        <v>45720</v>
      </c>
      <c r="H15" s="38">
        <v>562107</v>
      </c>
      <c r="I15" s="38">
        <v>3388712</v>
      </c>
      <c r="J15" s="38">
        <v>903550</v>
      </c>
      <c r="K15" s="38">
        <v>62564642</v>
      </c>
      <c r="L15" s="38">
        <v>26175296</v>
      </c>
      <c r="M15" s="38">
        <v>6708120</v>
      </c>
      <c r="N15" s="38">
        <v>18310513</v>
      </c>
      <c r="O15" s="38">
        <v>13493061</v>
      </c>
      <c r="P15" s="38">
        <v>26369922</v>
      </c>
      <c r="Q15" s="38">
        <v>1765850</v>
      </c>
      <c r="R15" s="38">
        <v>1069388</v>
      </c>
      <c r="S15" s="38">
        <v>413958</v>
      </c>
      <c r="T15" s="38">
        <v>170727</v>
      </c>
      <c r="U15" s="38">
        <v>25701309</v>
      </c>
      <c r="V15" s="38">
        <v>-713</v>
      </c>
      <c r="W15" s="38">
        <v>132195</v>
      </c>
      <c r="X15" s="38">
        <v>27276</v>
      </c>
      <c r="Y15" s="38">
        <v>-21236</v>
      </c>
      <c r="Z15" s="38">
        <v>-69</v>
      </c>
      <c r="AA15" s="38">
        <v>-534</v>
      </c>
      <c r="AB15" s="38">
        <v>435186</v>
      </c>
      <c r="AC15" s="38">
        <v>1189</v>
      </c>
      <c r="AD15" s="38">
        <v>3109</v>
      </c>
      <c r="AE15" s="38">
        <v>-19677</v>
      </c>
      <c r="AF15" s="38">
        <v>366089</v>
      </c>
      <c r="AG15" s="38">
        <v>-4842</v>
      </c>
      <c r="AH15" s="38">
        <v>-29801</v>
      </c>
      <c r="AI15" s="38">
        <v>9136</v>
      </c>
      <c r="AJ15" s="26">
        <v>188668426</v>
      </c>
      <c r="AK15" s="38">
        <v>-731720</v>
      </c>
      <c r="AL15" s="38">
        <v>0</v>
      </c>
      <c r="AM15" s="38">
        <v>-3134918</v>
      </c>
      <c r="AN15" s="38">
        <v>-83309</v>
      </c>
      <c r="AO15" s="38">
        <v>118320</v>
      </c>
      <c r="AP15" s="38">
        <v>163833</v>
      </c>
      <c r="AQ15" s="38">
        <v>59288136</v>
      </c>
      <c r="AR15" s="26">
        <v>55620342</v>
      </c>
      <c r="AS15" s="27">
        <v>244288768</v>
      </c>
      <c r="AT15" s="42">
        <v>191899112</v>
      </c>
      <c r="AU15" s="38">
        <v>52115731</v>
      </c>
      <c r="AV15" s="38">
        <v>273925</v>
      </c>
      <c r="AW15" s="38">
        <v>52389656</v>
      </c>
      <c r="AX15" s="38">
        <v>0</v>
      </c>
      <c r="AY15" s="38">
        <v>0</v>
      </c>
      <c r="AZ15" s="27">
        <v>244288768</v>
      </c>
      <c r="BA15" s="123"/>
    </row>
    <row r="16" spans="1:53" ht="13.5" customHeight="1">
      <c r="A16" s="72" t="s">
        <v>53</v>
      </c>
      <c r="B16" s="77" t="s">
        <v>54</v>
      </c>
      <c r="C16" s="38">
        <v>77940</v>
      </c>
      <c r="D16" s="38">
        <v>117861</v>
      </c>
      <c r="E16" s="38">
        <v>2371080</v>
      </c>
      <c r="F16" s="38">
        <v>248175</v>
      </c>
      <c r="G16" s="38">
        <v>609407</v>
      </c>
      <c r="H16" s="38">
        <v>2900135</v>
      </c>
      <c r="I16" s="38">
        <v>2673621</v>
      </c>
      <c r="J16" s="38">
        <v>667203</v>
      </c>
      <c r="K16" s="38">
        <v>1573739</v>
      </c>
      <c r="L16" s="38">
        <v>20929812</v>
      </c>
      <c r="M16" s="38">
        <v>2705363</v>
      </c>
      <c r="N16" s="38">
        <v>5224767</v>
      </c>
      <c r="O16" s="38">
        <v>19768968</v>
      </c>
      <c r="P16" s="38">
        <v>18833190</v>
      </c>
      <c r="Q16" s="38">
        <v>1490999</v>
      </c>
      <c r="R16" s="38">
        <v>1288202</v>
      </c>
      <c r="S16" s="38">
        <v>869133</v>
      </c>
      <c r="T16" s="38">
        <v>548021</v>
      </c>
      <c r="U16" s="38">
        <v>25476298</v>
      </c>
      <c r="V16" s="38">
        <v>1147254</v>
      </c>
      <c r="W16" s="38">
        <v>1077767</v>
      </c>
      <c r="X16" s="38">
        <v>1741987</v>
      </c>
      <c r="Y16" s="38">
        <v>251710</v>
      </c>
      <c r="Z16" s="38">
        <v>141513</v>
      </c>
      <c r="AA16" s="38">
        <v>200822</v>
      </c>
      <c r="AB16" s="38">
        <v>1247365</v>
      </c>
      <c r="AC16" s="38">
        <v>1101443</v>
      </c>
      <c r="AD16" s="38">
        <v>1742143</v>
      </c>
      <c r="AE16" s="38">
        <v>474147</v>
      </c>
      <c r="AF16" s="38">
        <v>355816</v>
      </c>
      <c r="AG16" s="38">
        <v>255624</v>
      </c>
      <c r="AH16" s="38">
        <v>953188</v>
      </c>
      <c r="AI16" s="38">
        <v>15794</v>
      </c>
      <c r="AJ16" s="26">
        <v>119080487</v>
      </c>
      <c r="AK16" s="38">
        <v>1887217</v>
      </c>
      <c r="AL16" s="38">
        <v>0</v>
      </c>
      <c r="AM16" s="38">
        <v>6527800</v>
      </c>
      <c r="AN16" s="38">
        <v>2370938</v>
      </c>
      <c r="AO16" s="38">
        <v>174696</v>
      </c>
      <c r="AP16" s="38">
        <v>0</v>
      </c>
      <c r="AQ16" s="38">
        <v>17376557</v>
      </c>
      <c r="AR16" s="26">
        <v>28337208</v>
      </c>
      <c r="AS16" s="27">
        <v>147417695</v>
      </c>
      <c r="AT16" s="42">
        <v>136298810</v>
      </c>
      <c r="AU16" s="38">
        <v>10772512</v>
      </c>
      <c r="AV16" s="38">
        <v>346373</v>
      </c>
      <c r="AW16" s="38">
        <v>11118885</v>
      </c>
      <c r="AX16" s="38">
        <v>0</v>
      </c>
      <c r="AY16" s="38">
        <v>0</v>
      </c>
      <c r="AZ16" s="27">
        <v>147417695</v>
      </c>
      <c r="BA16" s="123"/>
    </row>
    <row r="17" spans="1:53" ht="13.5" customHeight="1">
      <c r="A17" s="72" t="s">
        <v>55</v>
      </c>
      <c r="B17" s="77" t="s">
        <v>56</v>
      </c>
      <c r="C17" s="38">
        <v>181673</v>
      </c>
      <c r="D17" s="38">
        <v>13321</v>
      </c>
      <c r="E17" s="38">
        <v>179518</v>
      </c>
      <c r="F17" s="38">
        <v>41611</v>
      </c>
      <c r="G17" s="38">
        <v>229681</v>
      </c>
      <c r="H17" s="38">
        <v>822010</v>
      </c>
      <c r="I17" s="38">
        <v>730149</v>
      </c>
      <c r="J17" s="38">
        <v>94215</v>
      </c>
      <c r="K17" s="38">
        <v>473834</v>
      </c>
      <c r="L17" s="38">
        <v>1129751</v>
      </c>
      <c r="M17" s="38">
        <v>111091806</v>
      </c>
      <c r="N17" s="38">
        <v>14357957</v>
      </c>
      <c r="O17" s="38">
        <v>8884238</v>
      </c>
      <c r="P17" s="38">
        <v>11446256</v>
      </c>
      <c r="Q17" s="38">
        <v>150345</v>
      </c>
      <c r="R17" s="38">
        <v>2381775</v>
      </c>
      <c r="S17" s="38">
        <v>1173725</v>
      </c>
      <c r="T17" s="38">
        <v>449580</v>
      </c>
      <c r="U17" s="38">
        <v>1185699</v>
      </c>
      <c r="V17" s="38">
        <v>3095517</v>
      </c>
      <c r="W17" s="38">
        <v>872734</v>
      </c>
      <c r="X17" s="38">
        <v>1525087</v>
      </c>
      <c r="Y17" s="38">
        <v>10007238</v>
      </c>
      <c r="Z17" s="38">
        <v>604376</v>
      </c>
      <c r="AA17" s="38">
        <v>631498</v>
      </c>
      <c r="AB17" s="38">
        <v>13688295</v>
      </c>
      <c r="AC17" s="38">
        <v>1617811</v>
      </c>
      <c r="AD17" s="38">
        <v>1101557</v>
      </c>
      <c r="AE17" s="38">
        <v>1963339</v>
      </c>
      <c r="AF17" s="38">
        <v>4361931</v>
      </c>
      <c r="AG17" s="38">
        <v>523425</v>
      </c>
      <c r="AH17" s="38">
        <v>2615814</v>
      </c>
      <c r="AI17" s="38">
        <v>51754</v>
      </c>
      <c r="AJ17" s="26">
        <v>197677520</v>
      </c>
      <c r="AK17" s="38">
        <v>25091325</v>
      </c>
      <c r="AL17" s="38">
        <v>0</v>
      </c>
      <c r="AM17" s="38">
        <v>30155221</v>
      </c>
      <c r="AN17" s="38">
        <v>4162495</v>
      </c>
      <c r="AO17" s="38">
        <v>486519</v>
      </c>
      <c r="AP17" s="38">
        <v>0</v>
      </c>
      <c r="AQ17" s="38">
        <v>191050500</v>
      </c>
      <c r="AR17" s="26">
        <v>250946060</v>
      </c>
      <c r="AS17" s="27">
        <v>448623580</v>
      </c>
      <c r="AT17" s="42">
        <v>319811734</v>
      </c>
      <c r="AU17" s="38">
        <v>126034694</v>
      </c>
      <c r="AV17" s="38">
        <v>2777152</v>
      </c>
      <c r="AW17" s="38">
        <v>128811846</v>
      </c>
      <c r="AX17" s="38">
        <v>0</v>
      </c>
      <c r="AY17" s="38">
        <v>0</v>
      </c>
      <c r="AZ17" s="27">
        <v>448623580</v>
      </c>
      <c r="BA17" s="123"/>
    </row>
    <row r="18" spans="1:53" ht="13.5" customHeight="1">
      <c r="A18" s="72" t="s">
        <v>57</v>
      </c>
      <c r="B18" s="77" t="s">
        <v>58</v>
      </c>
      <c r="C18" s="38">
        <v>127130</v>
      </c>
      <c r="D18" s="38">
        <v>94350</v>
      </c>
      <c r="E18" s="38">
        <v>134004</v>
      </c>
      <c r="F18" s="38">
        <v>66778</v>
      </c>
      <c r="G18" s="38">
        <v>206216</v>
      </c>
      <c r="H18" s="38">
        <v>469945</v>
      </c>
      <c r="I18" s="38">
        <v>534499</v>
      </c>
      <c r="J18" s="38">
        <v>332306</v>
      </c>
      <c r="K18" s="38">
        <v>548446</v>
      </c>
      <c r="L18" s="38">
        <v>1395586</v>
      </c>
      <c r="M18" s="38">
        <v>8141816</v>
      </c>
      <c r="N18" s="38">
        <v>43904389</v>
      </c>
      <c r="O18" s="38">
        <v>8454471</v>
      </c>
      <c r="P18" s="38">
        <v>25867522</v>
      </c>
      <c r="Q18" s="38">
        <v>311865</v>
      </c>
      <c r="R18" s="38">
        <v>2037205</v>
      </c>
      <c r="S18" s="38">
        <v>2146060</v>
      </c>
      <c r="T18" s="38">
        <v>972943</v>
      </c>
      <c r="U18" s="38">
        <v>15485158</v>
      </c>
      <c r="V18" s="38">
        <v>1888909</v>
      </c>
      <c r="W18" s="38">
        <v>3253534</v>
      </c>
      <c r="X18" s="38">
        <v>2548408</v>
      </c>
      <c r="Y18" s="38">
        <v>3173256</v>
      </c>
      <c r="Z18" s="38">
        <v>368769</v>
      </c>
      <c r="AA18" s="38">
        <v>850238</v>
      </c>
      <c r="AB18" s="38">
        <v>8335414</v>
      </c>
      <c r="AC18" s="38">
        <v>2483438</v>
      </c>
      <c r="AD18" s="38">
        <v>982153</v>
      </c>
      <c r="AE18" s="38">
        <v>785992</v>
      </c>
      <c r="AF18" s="38">
        <v>597813</v>
      </c>
      <c r="AG18" s="38">
        <v>457683</v>
      </c>
      <c r="AH18" s="38">
        <v>3195593</v>
      </c>
      <c r="AI18" s="38">
        <v>11785</v>
      </c>
      <c r="AJ18" s="26">
        <v>140163674</v>
      </c>
      <c r="AK18" s="38">
        <v>11254160</v>
      </c>
      <c r="AL18" s="38">
        <v>0</v>
      </c>
      <c r="AM18" s="38">
        <v>15865555</v>
      </c>
      <c r="AN18" s="38">
        <v>302355</v>
      </c>
      <c r="AO18" s="38">
        <v>-360625</v>
      </c>
      <c r="AP18" s="38">
        <v>0</v>
      </c>
      <c r="AQ18" s="38">
        <v>46805116</v>
      </c>
      <c r="AR18" s="26">
        <v>73866561</v>
      </c>
      <c r="AS18" s="27">
        <v>214030235</v>
      </c>
      <c r="AT18" s="42">
        <v>172753507</v>
      </c>
      <c r="AU18" s="38">
        <v>40326770</v>
      </c>
      <c r="AV18" s="38">
        <v>949958</v>
      </c>
      <c r="AW18" s="38">
        <v>41276728</v>
      </c>
      <c r="AX18" s="38">
        <v>0</v>
      </c>
      <c r="AY18" s="38">
        <v>0</v>
      </c>
      <c r="AZ18" s="27">
        <v>214030235</v>
      </c>
      <c r="BA18" s="123"/>
    </row>
    <row r="19" spans="1:53" ht="13.5" customHeight="1">
      <c r="A19" s="72" t="s">
        <v>59</v>
      </c>
      <c r="B19" s="77" t="s">
        <v>11</v>
      </c>
      <c r="C19" s="38">
        <v>129919</v>
      </c>
      <c r="D19" s="38">
        <v>120796</v>
      </c>
      <c r="E19" s="38">
        <v>347920</v>
      </c>
      <c r="F19" s="38">
        <v>31863</v>
      </c>
      <c r="G19" s="38">
        <v>94508</v>
      </c>
      <c r="H19" s="38">
        <v>1382092</v>
      </c>
      <c r="I19" s="38">
        <v>788628</v>
      </c>
      <c r="J19" s="38">
        <v>155078</v>
      </c>
      <c r="K19" s="38">
        <v>734140</v>
      </c>
      <c r="L19" s="38">
        <v>2600060</v>
      </c>
      <c r="M19" s="38">
        <v>1519513</v>
      </c>
      <c r="N19" s="38">
        <v>1498282</v>
      </c>
      <c r="O19" s="38">
        <v>39011415</v>
      </c>
      <c r="P19" s="38">
        <v>9746821</v>
      </c>
      <c r="Q19" s="38">
        <v>56187</v>
      </c>
      <c r="R19" s="38">
        <v>1472837</v>
      </c>
      <c r="S19" s="38">
        <v>1127344</v>
      </c>
      <c r="T19" s="38">
        <v>1179355</v>
      </c>
      <c r="U19" s="38">
        <v>11223089</v>
      </c>
      <c r="V19" s="38">
        <v>650365</v>
      </c>
      <c r="W19" s="38">
        <v>989282</v>
      </c>
      <c r="X19" s="38">
        <v>370234</v>
      </c>
      <c r="Y19" s="38">
        <v>128658</v>
      </c>
      <c r="Z19" s="38">
        <v>50603</v>
      </c>
      <c r="AA19" s="38">
        <v>337724</v>
      </c>
      <c r="AB19" s="38">
        <v>1323848</v>
      </c>
      <c r="AC19" s="38">
        <v>383679</v>
      </c>
      <c r="AD19" s="38">
        <v>539228</v>
      </c>
      <c r="AE19" s="38">
        <v>368941</v>
      </c>
      <c r="AF19" s="38">
        <v>247391</v>
      </c>
      <c r="AG19" s="38">
        <v>151440</v>
      </c>
      <c r="AH19" s="38">
        <v>135707</v>
      </c>
      <c r="AI19" s="38">
        <v>6506</v>
      </c>
      <c r="AJ19" s="26">
        <v>78903453</v>
      </c>
      <c r="AK19" s="38">
        <v>2796216</v>
      </c>
      <c r="AL19" s="38">
        <v>0</v>
      </c>
      <c r="AM19" s="38">
        <v>90764774</v>
      </c>
      <c r="AN19" s="38">
        <v>1006484</v>
      </c>
      <c r="AO19" s="38">
        <v>229139</v>
      </c>
      <c r="AP19" s="38">
        <v>0</v>
      </c>
      <c r="AQ19" s="38">
        <v>70735546</v>
      </c>
      <c r="AR19" s="26">
        <v>165532159</v>
      </c>
      <c r="AS19" s="27">
        <v>244435612</v>
      </c>
      <c r="AT19" s="42">
        <v>185483373</v>
      </c>
      <c r="AU19" s="38">
        <v>57666958</v>
      </c>
      <c r="AV19" s="38">
        <v>1285281</v>
      </c>
      <c r="AW19" s="38">
        <v>58952239</v>
      </c>
      <c r="AX19" s="38">
        <v>0</v>
      </c>
      <c r="AY19" s="38">
        <v>0</v>
      </c>
      <c r="AZ19" s="27">
        <v>244435612</v>
      </c>
      <c r="BA19" s="123"/>
    </row>
    <row r="20" spans="1:53" ht="13.5" customHeight="1">
      <c r="A20" s="72" t="s">
        <v>60</v>
      </c>
      <c r="B20" s="77" t="s">
        <v>12</v>
      </c>
      <c r="C20" s="38">
        <v>214292</v>
      </c>
      <c r="D20" s="38">
        <v>171746</v>
      </c>
      <c r="E20" s="38">
        <v>36186</v>
      </c>
      <c r="F20" s="38">
        <v>13210</v>
      </c>
      <c r="G20" s="38">
        <v>88391</v>
      </c>
      <c r="H20" s="38">
        <v>261289</v>
      </c>
      <c r="I20" s="38">
        <v>302513</v>
      </c>
      <c r="J20" s="38">
        <v>199501</v>
      </c>
      <c r="K20" s="38">
        <v>171865</v>
      </c>
      <c r="L20" s="38">
        <v>276460</v>
      </c>
      <c r="M20" s="38">
        <v>16439</v>
      </c>
      <c r="N20" s="38">
        <v>89307</v>
      </c>
      <c r="O20" s="38">
        <v>701786</v>
      </c>
      <c r="P20" s="38">
        <v>96037051</v>
      </c>
      <c r="Q20" s="38">
        <v>18832</v>
      </c>
      <c r="R20" s="38">
        <v>3598588</v>
      </c>
      <c r="S20" s="38">
        <v>153854</v>
      </c>
      <c r="T20" s="38">
        <v>575492</v>
      </c>
      <c r="U20" s="38">
        <v>37247</v>
      </c>
      <c r="V20" s="38">
        <v>681877</v>
      </c>
      <c r="W20" s="38">
        <v>10079696</v>
      </c>
      <c r="X20" s="38">
        <v>179329</v>
      </c>
      <c r="Y20" s="38">
        <v>151437</v>
      </c>
      <c r="Z20" s="38">
        <v>22514</v>
      </c>
      <c r="AA20" s="38">
        <v>43088</v>
      </c>
      <c r="AB20" s="38">
        <v>3650026</v>
      </c>
      <c r="AC20" s="38">
        <v>876040</v>
      </c>
      <c r="AD20" s="38">
        <v>3578727</v>
      </c>
      <c r="AE20" s="38">
        <v>166906</v>
      </c>
      <c r="AF20" s="38">
        <v>225780</v>
      </c>
      <c r="AG20" s="38">
        <v>108240</v>
      </c>
      <c r="AH20" s="38">
        <v>7993657</v>
      </c>
      <c r="AI20" s="38">
        <v>7888</v>
      </c>
      <c r="AJ20" s="26">
        <v>130729254</v>
      </c>
      <c r="AK20" s="38">
        <v>40901705</v>
      </c>
      <c r="AL20" s="38">
        <v>0</v>
      </c>
      <c r="AM20" s="38">
        <v>42292727</v>
      </c>
      <c r="AN20" s="38">
        <v>13019884</v>
      </c>
      <c r="AO20" s="38">
        <v>3133154</v>
      </c>
      <c r="AP20" s="38">
        <v>0</v>
      </c>
      <c r="AQ20" s="38">
        <v>157357500</v>
      </c>
      <c r="AR20" s="26">
        <v>256704970</v>
      </c>
      <c r="AS20" s="27">
        <v>387434224</v>
      </c>
      <c r="AT20" s="42">
        <v>337135671</v>
      </c>
      <c r="AU20" s="38">
        <v>47691411</v>
      </c>
      <c r="AV20" s="38">
        <v>2607142</v>
      </c>
      <c r="AW20" s="38">
        <v>50298553</v>
      </c>
      <c r="AX20" s="38">
        <v>0</v>
      </c>
      <c r="AY20" s="38">
        <v>0</v>
      </c>
      <c r="AZ20" s="27">
        <v>387434224</v>
      </c>
      <c r="BA20" s="123"/>
    </row>
    <row r="21" spans="1:53" ht="13.5" customHeight="1">
      <c r="A21" s="72" t="s">
        <v>61</v>
      </c>
      <c r="B21" s="77" t="s">
        <v>135</v>
      </c>
      <c r="C21" s="38">
        <v>13043</v>
      </c>
      <c r="D21" s="38">
        <v>4348</v>
      </c>
      <c r="E21" s="38">
        <v>265784</v>
      </c>
      <c r="F21" s="38">
        <v>400619</v>
      </c>
      <c r="G21" s="38">
        <v>49555</v>
      </c>
      <c r="H21" s="38">
        <v>19543</v>
      </c>
      <c r="I21" s="38">
        <v>63826</v>
      </c>
      <c r="J21" s="38">
        <v>9664</v>
      </c>
      <c r="K21" s="38">
        <v>32816</v>
      </c>
      <c r="L21" s="38">
        <v>127540</v>
      </c>
      <c r="M21" s="38">
        <v>53518</v>
      </c>
      <c r="N21" s="38">
        <v>39413</v>
      </c>
      <c r="O21" s="38">
        <v>60546</v>
      </c>
      <c r="P21" s="38">
        <v>58127</v>
      </c>
      <c r="Q21" s="38">
        <v>1765026</v>
      </c>
      <c r="R21" s="38">
        <v>211009</v>
      </c>
      <c r="S21" s="38">
        <v>19253</v>
      </c>
      <c r="T21" s="38">
        <v>201605</v>
      </c>
      <c r="U21" s="38">
        <v>2450611</v>
      </c>
      <c r="V21" s="38">
        <v>958311</v>
      </c>
      <c r="W21" s="38">
        <v>218259</v>
      </c>
      <c r="X21" s="38">
        <v>2773762</v>
      </c>
      <c r="Y21" s="38">
        <v>459712</v>
      </c>
      <c r="Z21" s="38">
        <v>238915</v>
      </c>
      <c r="AA21" s="38">
        <v>984873</v>
      </c>
      <c r="AB21" s="38">
        <v>1963776</v>
      </c>
      <c r="AC21" s="38">
        <v>962940</v>
      </c>
      <c r="AD21" s="38">
        <v>659646</v>
      </c>
      <c r="AE21" s="38">
        <v>2473529</v>
      </c>
      <c r="AF21" s="38">
        <v>820745</v>
      </c>
      <c r="AG21" s="38">
        <v>1323183</v>
      </c>
      <c r="AH21" s="38">
        <v>807734</v>
      </c>
      <c r="AI21" s="38">
        <v>11875</v>
      </c>
      <c r="AJ21" s="26">
        <v>20503106</v>
      </c>
      <c r="AK21" s="38">
        <v>10947329</v>
      </c>
      <c r="AL21" s="38">
        <v>0</v>
      </c>
      <c r="AM21" s="38">
        <v>4161544</v>
      </c>
      <c r="AN21" s="38">
        <v>210426</v>
      </c>
      <c r="AO21" s="38">
        <v>166929</v>
      </c>
      <c r="AP21" s="38">
        <v>1489650</v>
      </c>
      <c r="AQ21" s="38">
        <v>3980497</v>
      </c>
      <c r="AR21" s="26">
        <v>20956375</v>
      </c>
      <c r="AS21" s="27">
        <v>41459481</v>
      </c>
      <c r="AT21" s="42">
        <v>28943269</v>
      </c>
      <c r="AU21" s="38">
        <v>11601209</v>
      </c>
      <c r="AV21" s="38">
        <v>915003</v>
      </c>
      <c r="AW21" s="38">
        <v>12516212</v>
      </c>
      <c r="AX21" s="38">
        <v>0</v>
      </c>
      <c r="AY21" s="38">
        <v>0</v>
      </c>
      <c r="AZ21" s="27">
        <v>41459481</v>
      </c>
      <c r="BA21" s="123"/>
    </row>
    <row r="22" spans="1:53" ht="13.5" customHeight="1">
      <c r="A22" s="72" t="s">
        <v>63</v>
      </c>
      <c r="B22" s="77" t="s">
        <v>64</v>
      </c>
      <c r="C22" s="38">
        <v>242070</v>
      </c>
      <c r="D22" s="38">
        <v>152155</v>
      </c>
      <c r="E22" s="38">
        <v>5486522</v>
      </c>
      <c r="F22" s="38">
        <v>9985095</v>
      </c>
      <c r="G22" s="38">
        <v>1801603</v>
      </c>
      <c r="H22" s="38">
        <v>435565</v>
      </c>
      <c r="I22" s="38">
        <v>9541669</v>
      </c>
      <c r="J22" s="38">
        <v>1369996</v>
      </c>
      <c r="K22" s="38">
        <v>4224299</v>
      </c>
      <c r="L22" s="38">
        <v>5725936</v>
      </c>
      <c r="M22" s="38">
        <v>18958535</v>
      </c>
      <c r="N22" s="38">
        <v>6950897</v>
      </c>
      <c r="O22" s="38">
        <v>12079284</v>
      </c>
      <c r="P22" s="38">
        <v>8404373</v>
      </c>
      <c r="Q22" s="38">
        <v>2035952</v>
      </c>
      <c r="R22" s="38">
        <v>12334112</v>
      </c>
      <c r="S22" s="38">
        <v>411980</v>
      </c>
      <c r="T22" s="38">
        <v>403424</v>
      </c>
      <c r="U22" s="38">
        <v>190115</v>
      </c>
      <c r="V22" s="38">
        <v>524872</v>
      </c>
      <c r="W22" s="38">
        <v>87915</v>
      </c>
      <c r="X22" s="38">
        <v>119377</v>
      </c>
      <c r="Y22" s="38">
        <v>257520</v>
      </c>
      <c r="Z22" s="38">
        <v>52047</v>
      </c>
      <c r="AA22" s="38">
        <v>76140</v>
      </c>
      <c r="AB22" s="38">
        <v>312264</v>
      </c>
      <c r="AC22" s="38">
        <v>1017368</v>
      </c>
      <c r="AD22" s="38">
        <v>230996</v>
      </c>
      <c r="AE22" s="38">
        <v>285366</v>
      </c>
      <c r="AF22" s="38">
        <v>1116365</v>
      </c>
      <c r="AG22" s="38">
        <v>128510</v>
      </c>
      <c r="AH22" s="38">
        <v>55174</v>
      </c>
      <c r="AI22" s="38">
        <v>1492</v>
      </c>
      <c r="AJ22" s="26">
        <v>104998988</v>
      </c>
      <c r="AK22" s="38">
        <v>28837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4155270</v>
      </c>
      <c r="AR22" s="26">
        <v>4184107</v>
      </c>
      <c r="AS22" s="27">
        <v>109183095</v>
      </c>
      <c r="AT22" s="42">
        <v>96802300</v>
      </c>
      <c r="AU22" s="38">
        <v>12380795</v>
      </c>
      <c r="AV22" s="38">
        <v>0</v>
      </c>
      <c r="AW22" s="38">
        <v>12380795</v>
      </c>
      <c r="AX22" s="38">
        <v>0</v>
      </c>
      <c r="AY22" s="38">
        <v>0</v>
      </c>
      <c r="AZ22" s="27">
        <v>109183095</v>
      </c>
      <c r="BA22" s="123"/>
    </row>
    <row r="23" spans="1:53" ht="13.5" customHeight="1">
      <c r="A23" s="72" t="s">
        <v>65</v>
      </c>
      <c r="B23" s="77" t="s">
        <v>13</v>
      </c>
      <c r="C23" s="38">
        <v>1767890</v>
      </c>
      <c r="D23" s="38">
        <v>309520</v>
      </c>
      <c r="E23" s="38">
        <v>3418331</v>
      </c>
      <c r="F23" s="38">
        <v>1482512</v>
      </c>
      <c r="G23" s="38">
        <v>2587944</v>
      </c>
      <c r="H23" s="38">
        <v>4698075</v>
      </c>
      <c r="I23" s="38">
        <v>13644506</v>
      </c>
      <c r="J23" s="38">
        <v>2510460</v>
      </c>
      <c r="K23" s="38">
        <v>13713403</v>
      </c>
      <c r="L23" s="38">
        <v>1874689</v>
      </c>
      <c r="M23" s="38">
        <v>10769625</v>
      </c>
      <c r="N23" s="38">
        <v>1765024</v>
      </c>
      <c r="O23" s="38">
        <v>2141590</v>
      </c>
      <c r="P23" s="38">
        <v>4950664</v>
      </c>
      <c r="Q23" s="38">
        <v>197778</v>
      </c>
      <c r="R23" s="38">
        <v>810329</v>
      </c>
      <c r="S23" s="38">
        <v>25782761</v>
      </c>
      <c r="T23" s="38">
        <v>909490</v>
      </c>
      <c r="U23" s="38">
        <v>748789</v>
      </c>
      <c r="V23" s="38">
        <v>3749316</v>
      </c>
      <c r="W23" s="38">
        <v>3699428</v>
      </c>
      <c r="X23" s="38">
        <v>1395483</v>
      </c>
      <c r="Y23" s="38">
        <v>1207141</v>
      </c>
      <c r="Z23" s="38">
        <v>1004513</v>
      </c>
      <c r="AA23" s="38">
        <v>2119641</v>
      </c>
      <c r="AB23" s="38">
        <v>6920949</v>
      </c>
      <c r="AC23" s="38">
        <v>477521</v>
      </c>
      <c r="AD23" s="38">
        <v>1132201</v>
      </c>
      <c r="AE23" s="38">
        <v>3465835</v>
      </c>
      <c r="AF23" s="38">
        <v>1954483</v>
      </c>
      <c r="AG23" s="38">
        <v>920786</v>
      </c>
      <c r="AH23" s="38">
        <v>777356</v>
      </c>
      <c r="AI23" s="38">
        <v>2523</v>
      </c>
      <c r="AJ23" s="26">
        <v>122910556</v>
      </c>
      <c r="AK23" s="38">
        <v>28833591</v>
      </c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163506</v>
      </c>
      <c r="AR23" s="26">
        <v>28997097</v>
      </c>
      <c r="AS23" s="27">
        <v>151907653</v>
      </c>
      <c r="AT23" s="42">
        <v>151678800</v>
      </c>
      <c r="AU23" s="38">
        <v>228853</v>
      </c>
      <c r="AV23" s="38">
        <v>0</v>
      </c>
      <c r="AW23" s="38">
        <v>228853</v>
      </c>
      <c r="AX23" s="38">
        <v>0</v>
      </c>
      <c r="AY23" s="38">
        <v>0</v>
      </c>
      <c r="AZ23" s="27">
        <v>151907653</v>
      </c>
      <c r="BA23" s="123"/>
    </row>
    <row r="24" spans="1:53" ht="13.5" customHeight="1">
      <c r="A24" s="72" t="s">
        <v>66</v>
      </c>
      <c r="B24" s="77" t="s">
        <v>67</v>
      </c>
      <c r="C24" s="38">
        <v>89368</v>
      </c>
      <c r="D24" s="38">
        <v>14541</v>
      </c>
      <c r="E24" s="38">
        <v>826779</v>
      </c>
      <c r="F24" s="38">
        <v>386115</v>
      </c>
      <c r="G24" s="38">
        <v>575476</v>
      </c>
      <c r="H24" s="38">
        <v>130595</v>
      </c>
      <c r="I24" s="38">
        <v>4924316</v>
      </c>
      <c r="J24" s="38">
        <v>637797</v>
      </c>
      <c r="K24" s="38">
        <v>5187656</v>
      </c>
      <c r="L24" s="38">
        <v>905612</v>
      </c>
      <c r="M24" s="38">
        <v>235320</v>
      </c>
      <c r="N24" s="38">
        <v>281475</v>
      </c>
      <c r="O24" s="38">
        <v>742523</v>
      </c>
      <c r="P24" s="38">
        <v>461476</v>
      </c>
      <c r="Q24" s="38">
        <v>55082</v>
      </c>
      <c r="R24" s="38">
        <v>255182</v>
      </c>
      <c r="S24" s="38">
        <v>332905</v>
      </c>
      <c r="T24" s="38">
        <v>2236474</v>
      </c>
      <c r="U24" s="38">
        <v>341237</v>
      </c>
      <c r="V24" s="38">
        <v>165479</v>
      </c>
      <c r="W24" s="38">
        <v>464005</v>
      </c>
      <c r="X24" s="38">
        <v>2878054</v>
      </c>
      <c r="Y24" s="38">
        <v>361325</v>
      </c>
      <c r="Z24" s="38">
        <v>303706</v>
      </c>
      <c r="AA24" s="38">
        <v>2573899</v>
      </c>
      <c r="AB24" s="38">
        <v>1005874</v>
      </c>
      <c r="AC24" s="38">
        <v>452566</v>
      </c>
      <c r="AD24" s="38">
        <v>1046785</v>
      </c>
      <c r="AE24" s="38">
        <v>1383081</v>
      </c>
      <c r="AF24" s="38">
        <v>1977621</v>
      </c>
      <c r="AG24" s="38">
        <v>421875</v>
      </c>
      <c r="AH24" s="38">
        <v>627650</v>
      </c>
      <c r="AI24" s="38">
        <v>8234</v>
      </c>
      <c r="AJ24" s="26">
        <v>32290083</v>
      </c>
      <c r="AK24" s="38">
        <v>5621462</v>
      </c>
      <c r="AL24" s="38">
        <v>3376692</v>
      </c>
      <c r="AM24" s="38">
        <v>0</v>
      </c>
      <c r="AN24" s="38">
        <v>0</v>
      </c>
      <c r="AO24" s="38">
        <v>0</v>
      </c>
      <c r="AP24" s="38">
        <v>0</v>
      </c>
      <c r="AQ24" s="38">
        <v>703138</v>
      </c>
      <c r="AR24" s="26">
        <v>9701292</v>
      </c>
      <c r="AS24" s="27">
        <v>41991375</v>
      </c>
      <c r="AT24" s="42">
        <v>41799020</v>
      </c>
      <c r="AU24" s="38">
        <v>192355</v>
      </c>
      <c r="AV24" s="38">
        <v>0</v>
      </c>
      <c r="AW24" s="38">
        <v>192355</v>
      </c>
      <c r="AX24" s="38">
        <v>0</v>
      </c>
      <c r="AY24" s="38">
        <v>0</v>
      </c>
      <c r="AZ24" s="27">
        <v>41991375</v>
      </c>
      <c r="BA24" s="123"/>
    </row>
    <row r="25" spans="1:53" ht="13.5" customHeight="1">
      <c r="A25" s="72" t="s">
        <v>68</v>
      </c>
      <c r="B25" s="77" t="s">
        <v>14</v>
      </c>
      <c r="C25" s="38">
        <v>88514</v>
      </c>
      <c r="D25" s="38">
        <v>32490</v>
      </c>
      <c r="E25" s="38">
        <v>115964</v>
      </c>
      <c r="F25" s="38">
        <v>17981</v>
      </c>
      <c r="G25" s="38">
        <v>52301</v>
      </c>
      <c r="H25" s="38">
        <v>105287</v>
      </c>
      <c r="I25" s="38">
        <v>239147</v>
      </c>
      <c r="J25" s="38">
        <v>35374</v>
      </c>
      <c r="K25" s="38">
        <v>173084</v>
      </c>
      <c r="L25" s="38">
        <v>142250</v>
      </c>
      <c r="M25" s="38">
        <v>79641</v>
      </c>
      <c r="N25" s="38">
        <v>106790</v>
      </c>
      <c r="O25" s="38">
        <v>86476</v>
      </c>
      <c r="P25" s="38">
        <v>23178</v>
      </c>
      <c r="Q25" s="38">
        <v>15431</v>
      </c>
      <c r="R25" s="38">
        <v>19997</v>
      </c>
      <c r="S25" s="38">
        <v>294042</v>
      </c>
      <c r="T25" s="38">
        <v>116218</v>
      </c>
      <c r="U25" s="38">
        <v>22772</v>
      </c>
      <c r="V25" s="38">
        <v>382154</v>
      </c>
      <c r="W25" s="38">
        <v>135823</v>
      </c>
      <c r="X25" s="38">
        <v>862064</v>
      </c>
      <c r="Y25" s="38">
        <v>378330</v>
      </c>
      <c r="Z25" s="38">
        <v>59155</v>
      </c>
      <c r="AA25" s="38">
        <v>18831564</v>
      </c>
      <c r="AB25" s="38">
        <v>837373</v>
      </c>
      <c r="AC25" s="38">
        <v>366211</v>
      </c>
      <c r="AD25" s="38">
        <v>850453</v>
      </c>
      <c r="AE25" s="38">
        <v>169025</v>
      </c>
      <c r="AF25" s="38">
        <v>98138</v>
      </c>
      <c r="AG25" s="38">
        <v>151080</v>
      </c>
      <c r="AH25" s="38">
        <v>166440</v>
      </c>
      <c r="AI25" s="38">
        <v>8090</v>
      </c>
      <c r="AJ25" s="26">
        <v>25062837</v>
      </c>
      <c r="AK25" s="38">
        <v>0</v>
      </c>
      <c r="AL25" s="38">
        <v>0</v>
      </c>
      <c r="AM25" s="38">
        <v>239341758</v>
      </c>
      <c r="AN25" s="38">
        <v>75543183</v>
      </c>
      <c r="AO25" s="38">
        <v>2120576</v>
      </c>
      <c r="AP25" s="38">
        <v>0</v>
      </c>
      <c r="AQ25" s="38">
        <v>171495</v>
      </c>
      <c r="AR25" s="26">
        <v>317177012</v>
      </c>
      <c r="AS25" s="27">
        <v>342239849</v>
      </c>
      <c r="AT25" s="42">
        <v>342238299</v>
      </c>
      <c r="AU25" s="38">
        <v>1550</v>
      </c>
      <c r="AV25" s="38">
        <v>0</v>
      </c>
      <c r="AW25" s="38">
        <v>1550</v>
      </c>
      <c r="AX25" s="38">
        <v>0</v>
      </c>
      <c r="AY25" s="38">
        <v>0</v>
      </c>
      <c r="AZ25" s="27">
        <v>342239849</v>
      </c>
      <c r="BA25" s="123"/>
    </row>
    <row r="26" spans="1:53" ht="13.5" customHeight="1">
      <c r="A26" s="72" t="s">
        <v>69</v>
      </c>
      <c r="B26" s="77" t="s">
        <v>70</v>
      </c>
      <c r="C26" s="38">
        <v>4017209</v>
      </c>
      <c r="D26" s="38">
        <v>92735</v>
      </c>
      <c r="E26" s="38">
        <v>13462055</v>
      </c>
      <c r="F26" s="38">
        <v>6233010</v>
      </c>
      <c r="G26" s="38">
        <v>3475883</v>
      </c>
      <c r="H26" s="38">
        <v>2667447</v>
      </c>
      <c r="I26" s="38">
        <v>16297636</v>
      </c>
      <c r="J26" s="38">
        <v>2168116</v>
      </c>
      <c r="K26" s="38">
        <v>4793951</v>
      </c>
      <c r="L26" s="38">
        <v>4627359</v>
      </c>
      <c r="M26" s="38">
        <v>12829244</v>
      </c>
      <c r="N26" s="38">
        <v>7574944</v>
      </c>
      <c r="O26" s="38">
        <v>7673225</v>
      </c>
      <c r="P26" s="38">
        <v>14473615</v>
      </c>
      <c r="Q26" s="38">
        <v>2501432</v>
      </c>
      <c r="R26" s="38">
        <v>2360968</v>
      </c>
      <c r="S26" s="38">
        <v>3590237</v>
      </c>
      <c r="T26" s="38">
        <v>1036779</v>
      </c>
      <c r="U26" s="38">
        <v>12332647</v>
      </c>
      <c r="V26" s="38">
        <v>17942218</v>
      </c>
      <c r="W26" s="38">
        <v>3342006</v>
      </c>
      <c r="X26" s="38">
        <v>17133669</v>
      </c>
      <c r="Y26" s="38">
        <v>8902929</v>
      </c>
      <c r="Z26" s="38">
        <v>532693</v>
      </c>
      <c r="AA26" s="38">
        <v>771050</v>
      </c>
      <c r="AB26" s="38">
        <v>6796534</v>
      </c>
      <c r="AC26" s="38">
        <v>2561456</v>
      </c>
      <c r="AD26" s="38">
        <v>2237644</v>
      </c>
      <c r="AE26" s="38">
        <v>2524334</v>
      </c>
      <c r="AF26" s="38">
        <v>13549614</v>
      </c>
      <c r="AG26" s="38">
        <v>1885064</v>
      </c>
      <c r="AH26" s="38">
        <v>3582370</v>
      </c>
      <c r="AI26" s="38">
        <v>43486</v>
      </c>
      <c r="AJ26" s="26">
        <v>204013559</v>
      </c>
      <c r="AK26" s="38">
        <v>134942015</v>
      </c>
      <c r="AL26" s="38">
        <v>0</v>
      </c>
      <c r="AM26" s="38">
        <v>20207842</v>
      </c>
      <c r="AN26" s="38">
        <v>1806222</v>
      </c>
      <c r="AO26" s="38">
        <v>582671</v>
      </c>
      <c r="AP26" s="38">
        <v>578417</v>
      </c>
      <c r="AQ26" s="38">
        <v>39426548</v>
      </c>
      <c r="AR26" s="26">
        <v>197543715</v>
      </c>
      <c r="AS26" s="27">
        <v>401557274</v>
      </c>
      <c r="AT26" s="42">
        <v>396488672</v>
      </c>
      <c r="AU26" s="38">
        <v>5068602</v>
      </c>
      <c r="AV26" s="38">
        <v>0</v>
      </c>
      <c r="AW26" s="38">
        <v>5068602</v>
      </c>
      <c r="AX26" s="38">
        <v>0</v>
      </c>
      <c r="AY26" s="38">
        <v>0</v>
      </c>
      <c r="AZ26" s="27">
        <v>401557274</v>
      </c>
      <c r="BA26" s="123"/>
    </row>
    <row r="27" spans="1:53" ht="13.5" customHeight="1">
      <c r="A27" s="72" t="s">
        <v>71</v>
      </c>
      <c r="B27" s="77" t="s">
        <v>42</v>
      </c>
      <c r="C27" s="38">
        <v>1919167</v>
      </c>
      <c r="D27" s="38">
        <v>799284</v>
      </c>
      <c r="E27" s="38">
        <v>6346706</v>
      </c>
      <c r="F27" s="38">
        <v>2668966</v>
      </c>
      <c r="G27" s="38">
        <v>2365196</v>
      </c>
      <c r="H27" s="38">
        <v>1716791</v>
      </c>
      <c r="I27" s="38">
        <v>11761475</v>
      </c>
      <c r="J27" s="38">
        <v>5779159</v>
      </c>
      <c r="K27" s="38">
        <v>5382372</v>
      </c>
      <c r="L27" s="38">
        <v>3816276</v>
      </c>
      <c r="M27" s="38">
        <v>4240610</v>
      </c>
      <c r="N27" s="38">
        <v>2821897</v>
      </c>
      <c r="O27" s="38">
        <v>4171193</v>
      </c>
      <c r="P27" s="38">
        <v>3826162</v>
      </c>
      <c r="Q27" s="38">
        <v>1062698</v>
      </c>
      <c r="R27" s="38">
        <v>1535413</v>
      </c>
      <c r="S27" s="38">
        <v>700835</v>
      </c>
      <c r="T27" s="38">
        <v>3021647</v>
      </c>
      <c r="U27" s="38">
        <v>3493413</v>
      </c>
      <c r="V27" s="38">
        <v>30984703</v>
      </c>
      <c r="W27" s="38">
        <v>36280065</v>
      </c>
      <c r="X27" s="38">
        <v>3439509</v>
      </c>
      <c r="Y27" s="38">
        <v>1733366</v>
      </c>
      <c r="Z27" s="38">
        <v>763410</v>
      </c>
      <c r="AA27" s="38">
        <v>734963</v>
      </c>
      <c r="AB27" s="38">
        <v>4637907</v>
      </c>
      <c r="AC27" s="38">
        <v>2409856</v>
      </c>
      <c r="AD27" s="38">
        <v>2789128</v>
      </c>
      <c r="AE27" s="38">
        <v>779792</v>
      </c>
      <c r="AF27" s="38">
        <v>1650316</v>
      </c>
      <c r="AG27" s="38">
        <v>456533</v>
      </c>
      <c r="AH27" s="38">
        <v>1197763</v>
      </c>
      <c r="AI27" s="38">
        <v>194310</v>
      </c>
      <c r="AJ27" s="26">
        <v>155480881</v>
      </c>
      <c r="AK27" s="38">
        <v>46349360</v>
      </c>
      <c r="AL27" s="38">
        <v>0</v>
      </c>
      <c r="AM27" s="38">
        <v>454497</v>
      </c>
      <c r="AN27" s="38">
        <v>177198</v>
      </c>
      <c r="AO27" s="38">
        <v>90062</v>
      </c>
      <c r="AP27" s="38">
        <v>9663</v>
      </c>
      <c r="AQ27" s="38">
        <v>51177729</v>
      </c>
      <c r="AR27" s="26">
        <v>98258509</v>
      </c>
      <c r="AS27" s="27">
        <v>253739390</v>
      </c>
      <c r="AT27" s="42">
        <v>221215271</v>
      </c>
      <c r="AU27" s="38">
        <v>32524119</v>
      </c>
      <c r="AV27" s="38">
        <v>0</v>
      </c>
      <c r="AW27" s="38">
        <v>32524119</v>
      </c>
      <c r="AX27" s="38">
        <v>0</v>
      </c>
      <c r="AY27" s="38">
        <v>0</v>
      </c>
      <c r="AZ27" s="27">
        <v>253739390</v>
      </c>
      <c r="BA27" s="123"/>
    </row>
    <row r="28" spans="1:53" ht="13.5" customHeight="1">
      <c r="A28" s="72" t="s">
        <v>72</v>
      </c>
      <c r="B28" s="77" t="s">
        <v>15</v>
      </c>
      <c r="C28" s="38">
        <v>486496</v>
      </c>
      <c r="D28" s="38">
        <v>118589</v>
      </c>
      <c r="E28" s="38">
        <v>714237</v>
      </c>
      <c r="F28" s="38">
        <v>554536</v>
      </c>
      <c r="G28" s="38">
        <v>579581</v>
      </c>
      <c r="H28" s="38">
        <v>281811</v>
      </c>
      <c r="I28" s="38">
        <v>1877941</v>
      </c>
      <c r="J28" s="38">
        <v>397497</v>
      </c>
      <c r="K28" s="38">
        <v>909887</v>
      </c>
      <c r="L28" s="38">
        <v>1188218</v>
      </c>
      <c r="M28" s="38">
        <v>1271637</v>
      </c>
      <c r="N28" s="38">
        <v>654787</v>
      </c>
      <c r="O28" s="38">
        <v>1409906</v>
      </c>
      <c r="P28" s="38">
        <v>1251367</v>
      </c>
      <c r="Q28" s="38">
        <v>249705</v>
      </c>
      <c r="R28" s="38">
        <v>2627810</v>
      </c>
      <c r="S28" s="38">
        <v>395221</v>
      </c>
      <c r="T28" s="38">
        <v>706263</v>
      </c>
      <c r="U28" s="38">
        <v>1124688</v>
      </c>
      <c r="V28" s="38">
        <v>16374635</v>
      </c>
      <c r="W28" s="38">
        <v>2603168</v>
      </c>
      <c r="X28" s="38">
        <v>1489195</v>
      </c>
      <c r="Y28" s="38">
        <v>3506755</v>
      </c>
      <c r="Z28" s="38">
        <v>4440413</v>
      </c>
      <c r="AA28" s="38">
        <v>2669324</v>
      </c>
      <c r="AB28" s="38">
        <v>13245276</v>
      </c>
      <c r="AC28" s="38">
        <v>4849979</v>
      </c>
      <c r="AD28" s="38">
        <v>5957103</v>
      </c>
      <c r="AE28" s="38">
        <v>4252669</v>
      </c>
      <c r="AF28" s="38">
        <v>5569033</v>
      </c>
      <c r="AG28" s="38">
        <v>2299807</v>
      </c>
      <c r="AH28" s="38">
        <v>5143416</v>
      </c>
      <c r="AI28" s="38">
        <v>7472</v>
      </c>
      <c r="AJ28" s="26">
        <v>89208422</v>
      </c>
      <c r="AK28" s="38">
        <v>143478057</v>
      </c>
      <c r="AL28" s="38">
        <v>0</v>
      </c>
      <c r="AM28" s="38">
        <v>0</v>
      </c>
      <c r="AN28" s="38">
        <v>0</v>
      </c>
      <c r="AO28" s="38">
        <v>0</v>
      </c>
      <c r="AP28" s="38">
        <v>0</v>
      </c>
      <c r="AQ28" s="38">
        <v>10651506</v>
      </c>
      <c r="AR28" s="26">
        <v>154129563</v>
      </c>
      <c r="AS28" s="27">
        <v>243337985</v>
      </c>
      <c r="AT28" s="42">
        <v>223735804</v>
      </c>
      <c r="AU28" s="38">
        <v>19602181</v>
      </c>
      <c r="AV28" s="38">
        <v>0</v>
      </c>
      <c r="AW28" s="38">
        <v>19602181</v>
      </c>
      <c r="AX28" s="38">
        <v>0</v>
      </c>
      <c r="AY28" s="38">
        <v>0</v>
      </c>
      <c r="AZ28" s="27">
        <v>243337985</v>
      </c>
      <c r="BA28" s="123"/>
    </row>
    <row r="29" spans="1:53" ht="13.5" customHeight="1">
      <c r="A29" s="72" t="s">
        <v>73</v>
      </c>
      <c r="B29" s="77" t="s">
        <v>136</v>
      </c>
      <c r="C29" s="38">
        <v>188130</v>
      </c>
      <c r="D29" s="38">
        <v>26237</v>
      </c>
      <c r="E29" s="38">
        <v>380285</v>
      </c>
      <c r="F29" s="38">
        <v>190878</v>
      </c>
      <c r="G29" s="38">
        <v>371296</v>
      </c>
      <c r="H29" s="38">
        <v>552800</v>
      </c>
      <c r="I29" s="38">
        <v>883077</v>
      </c>
      <c r="J29" s="38">
        <v>168970</v>
      </c>
      <c r="K29" s="38">
        <v>631418</v>
      </c>
      <c r="L29" s="38">
        <v>565439</v>
      </c>
      <c r="M29" s="38">
        <v>1494611</v>
      </c>
      <c r="N29" s="38">
        <v>449424</v>
      </c>
      <c r="O29" s="38">
        <v>653347</v>
      </c>
      <c r="P29" s="38">
        <v>799174</v>
      </c>
      <c r="Q29" s="38">
        <v>268440</v>
      </c>
      <c r="R29" s="38">
        <v>621396</v>
      </c>
      <c r="S29" s="38">
        <v>203385</v>
      </c>
      <c r="T29" s="38">
        <v>580315</v>
      </c>
      <c r="U29" s="38">
        <v>863463</v>
      </c>
      <c r="V29" s="38">
        <v>10892513</v>
      </c>
      <c r="W29" s="38">
        <v>2462241</v>
      </c>
      <c r="X29" s="38">
        <v>2378818</v>
      </c>
      <c r="Y29" s="38">
        <v>36692460</v>
      </c>
      <c r="Z29" s="38">
        <v>10613194</v>
      </c>
      <c r="AA29" s="38">
        <v>1313214</v>
      </c>
      <c r="AB29" s="38">
        <v>23465329</v>
      </c>
      <c r="AC29" s="38">
        <v>2729996</v>
      </c>
      <c r="AD29" s="38">
        <v>4923042</v>
      </c>
      <c r="AE29" s="38">
        <v>4578307</v>
      </c>
      <c r="AF29" s="38">
        <v>1581861</v>
      </c>
      <c r="AG29" s="38">
        <v>4156063</v>
      </c>
      <c r="AH29" s="38">
        <v>1552462</v>
      </c>
      <c r="AI29" s="38">
        <v>39355</v>
      </c>
      <c r="AJ29" s="26">
        <v>117270940</v>
      </c>
      <c r="AK29" s="38">
        <v>57033560</v>
      </c>
      <c r="AL29" s="38">
        <v>0</v>
      </c>
      <c r="AM29" s="38">
        <v>43922864</v>
      </c>
      <c r="AN29" s="38">
        <v>791918</v>
      </c>
      <c r="AO29" s="38">
        <v>37855</v>
      </c>
      <c r="AP29" s="38">
        <v>0</v>
      </c>
      <c r="AQ29" s="38">
        <v>21485525</v>
      </c>
      <c r="AR29" s="26">
        <v>123271722</v>
      </c>
      <c r="AS29" s="27">
        <v>240542662</v>
      </c>
      <c r="AT29" s="42">
        <v>218302817</v>
      </c>
      <c r="AU29" s="38">
        <v>22239838</v>
      </c>
      <c r="AV29" s="38">
        <v>7</v>
      </c>
      <c r="AW29" s="38">
        <v>22239845</v>
      </c>
      <c r="AX29" s="38">
        <v>0</v>
      </c>
      <c r="AY29" s="38">
        <v>0</v>
      </c>
      <c r="AZ29" s="27">
        <v>240542662</v>
      </c>
      <c r="BA29" s="123"/>
    </row>
    <row r="30" spans="1:53" ht="13.5" customHeight="1">
      <c r="A30" s="72" t="s">
        <v>74</v>
      </c>
      <c r="B30" s="77" t="s">
        <v>137</v>
      </c>
      <c r="C30" s="38">
        <v>1170064</v>
      </c>
      <c r="D30" s="38">
        <v>65479</v>
      </c>
      <c r="E30" s="38">
        <v>1831397</v>
      </c>
      <c r="F30" s="38">
        <v>1070524</v>
      </c>
      <c r="G30" s="38">
        <v>845742</v>
      </c>
      <c r="H30" s="38">
        <v>1187810</v>
      </c>
      <c r="I30" s="38">
        <v>4178066</v>
      </c>
      <c r="J30" s="38">
        <v>684791</v>
      </c>
      <c r="K30" s="38">
        <v>1732784</v>
      </c>
      <c r="L30" s="38">
        <v>1829612</v>
      </c>
      <c r="M30" s="38">
        <v>2949714</v>
      </c>
      <c r="N30" s="38">
        <v>1708449</v>
      </c>
      <c r="O30" s="38">
        <v>2643984</v>
      </c>
      <c r="P30" s="38">
        <v>3028415</v>
      </c>
      <c r="Q30" s="38">
        <v>377441</v>
      </c>
      <c r="R30" s="38">
        <v>688620</v>
      </c>
      <c r="S30" s="38">
        <v>1513844</v>
      </c>
      <c r="T30" s="38">
        <v>716668</v>
      </c>
      <c r="U30" s="38">
        <v>4692734</v>
      </c>
      <c r="V30" s="38">
        <v>9394744</v>
      </c>
      <c r="W30" s="38">
        <v>2698034</v>
      </c>
      <c r="X30" s="38">
        <v>3596568</v>
      </c>
      <c r="Y30" s="38">
        <v>2479141</v>
      </c>
      <c r="Z30" s="38">
        <v>42355592</v>
      </c>
      <c r="AA30" s="38">
        <v>21428865</v>
      </c>
      <c r="AB30" s="38">
        <v>3519114</v>
      </c>
      <c r="AC30" s="38">
        <v>1570014</v>
      </c>
      <c r="AD30" s="38">
        <v>4774938</v>
      </c>
      <c r="AE30" s="38">
        <v>3079717</v>
      </c>
      <c r="AF30" s="38">
        <v>4478359</v>
      </c>
      <c r="AG30" s="38">
        <v>1171943</v>
      </c>
      <c r="AH30" s="38">
        <v>1838555</v>
      </c>
      <c r="AI30" s="38">
        <v>0</v>
      </c>
      <c r="AJ30" s="26">
        <v>135301722</v>
      </c>
      <c r="AK30" s="38">
        <v>94642976</v>
      </c>
      <c r="AL30" s="38">
        <v>149222</v>
      </c>
      <c r="AM30" s="38">
        <v>0</v>
      </c>
      <c r="AN30" s="38">
        <v>0</v>
      </c>
      <c r="AO30" s="38">
        <v>0</v>
      </c>
      <c r="AP30" s="38">
        <v>0</v>
      </c>
      <c r="AQ30" s="38">
        <v>9183457</v>
      </c>
      <c r="AR30" s="26">
        <v>103975655</v>
      </c>
      <c r="AS30" s="27">
        <v>239277377</v>
      </c>
      <c r="AT30" s="42">
        <v>230943184</v>
      </c>
      <c r="AU30" s="38">
        <v>8334193</v>
      </c>
      <c r="AV30" s="38">
        <v>0</v>
      </c>
      <c r="AW30" s="38">
        <v>8334193</v>
      </c>
      <c r="AX30" s="38">
        <v>0</v>
      </c>
      <c r="AY30" s="38">
        <v>0</v>
      </c>
      <c r="AZ30" s="27">
        <v>239277377</v>
      </c>
      <c r="BA30" s="123"/>
    </row>
    <row r="31" spans="1:53" ht="13.5" customHeight="1">
      <c r="A31" s="72" t="s">
        <v>75</v>
      </c>
      <c r="B31" s="77" t="s">
        <v>76</v>
      </c>
      <c r="C31" s="38">
        <v>35782</v>
      </c>
      <c r="D31" s="38">
        <v>6525</v>
      </c>
      <c r="E31" s="38">
        <v>355125</v>
      </c>
      <c r="F31" s="38">
        <v>278962</v>
      </c>
      <c r="G31" s="38">
        <v>194301</v>
      </c>
      <c r="H31" s="38">
        <v>125920</v>
      </c>
      <c r="I31" s="38">
        <v>476381</v>
      </c>
      <c r="J31" s="38">
        <v>68563</v>
      </c>
      <c r="K31" s="38">
        <v>208273</v>
      </c>
      <c r="L31" s="38">
        <v>211950</v>
      </c>
      <c r="M31" s="38">
        <v>350672</v>
      </c>
      <c r="N31" s="38">
        <v>334244</v>
      </c>
      <c r="O31" s="38">
        <v>210151</v>
      </c>
      <c r="P31" s="38">
        <v>324469</v>
      </c>
      <c r="Q31" s="38">
        <v>144474</v>
      </c>
      <c r="R31" s="38">
        <v>448306</v>
      </c>
      <c r="S31" s="38">
        <v>74004</v>
      </c>
      <c r="T31" s="38">
        <v>540288</v>
      </c>
      <c r="U31" s="38">
        <v>533213</v>
      </c>
      <c r="V31" s="38">
        <v>19558837</v>
      </c>
      <c r="W31" s="38">
        <v>1784815</v>
      </c>
      <c r="X31" s="38">
        <v>10709339</v>
      </c>
      <c r="Y31" s="38">
        <v>2207460</v>
      </c>
      <c r="Z31" s="38">
        <v>3792337</v>
      </c>
      <c r="AA31" s="38">
        <v>7890746</v>
      </c>
      <c r="AB31" s="38">
        <v>9191886</v>
      </c>
      <c r="AC31" s="38">
        <v>2186463</v>
      </c>
      <c r="AD31" s="38">
        <v>1163421</v>
      </c>
      <c r="AE31" s="38">
        <v>3880427</v>
      </c>
      <c r="AF31" s="38">
        <v>4078970</v>
      </c>
      <c r="AG31" s="38">
        <v>633246</v>
      </c>
      <c r="AH31" s="38">
        <v>1824621</v>
      </c>
      <c r="AI31" s="38">
        <v>3335</v>
      </c>
      <c r="AJ31" s="26">
        <v>73827506</v>
      </c>
      <c r="AK31" s="38">
        <v>153308641</v>
      </c>
      <c r="AL31" s="38">
        <v>0</v>
      </c>
      <c r="AM31" s="38">
        <v>45947699</v>
      </c>
      <c r="AN31" s="38">
        <v>16733</v>
      </c>
      <c r="AO31" s="38">
        <v>0</v>
      </c>
      <c r="AP31" s="38">
        <v>0</v>
      </c>
      <c r="AQ31" s="38">
        <v>321254</v>
      </c>
      <c r="AR31" s="26">
        <v>199594327</v>
      </c>
      <c r="AS31" s="27">
        <v>273421833</v>
      </c>
      <c r="AT31" s="42">
        <v>271811087</v>
      </c>
      <c r="AU31" s="38">
        <v>1610746</v>
      </c>
      <c r="AV31" s="38">
        <v>0</v>
      </c>
      <c r="AW31" s="38">
        <v>1610746</v>
      </c>
      <c r="AX31" s="38">
        <v>0</v>
      </c>
      <c r="AY31" s="38">
        <v>0</v>
      </c>
      <c r="AZ31" s="27">
        <v>273421833</v>
      </c>
      <c r="BA31" s="123"/>
    </row>
    <row r="32" spans="1:53" ht="13.5" customHeight="1">
      <c r="A32" s="72" t="s">
        <v>77</v>
      </c>
      <c r="B32" s="77" t="s">
        <v>43</v>
      </c>
      <c r="C32" s="38">
        <v>1230473</v>
      </c>
      <c r="D32" s="38">
        <v>257566</v>
      </c>
      <c r="E32" s="38">
        <v>9618973</v>
      </c>
      <c r="F32" s="38">
        <v>1881685</v>
      </c>
      <c r="G32" s="38">
        <v>1682908</v>
      </c>
      <c r="H32" s="38">
        <v>3511875</v>
      </c>
      <c r="I32" s="38">
        <v>18948053</v>
      </c>
      <c r="J32" s="38">
        <v>2179447</v>
      </c>
      <c r="K32" s="38">
        <v>7371240</v>
      </c>
      <c r="L32" s="38">
        <v>4295878</v>
      </c>
      <c r="M32" s="38">
        <v>11626563</v>
      </c>
      <c r="N32" s="38">
        <v>6823690</v>
      </c>
      <c r="O32" s="38">
        <v>7505694</v>
      </c>
      <c r="P32" s="38">
        <v>12591254</v>
      </c>
      <c r="Q32" s="38">
        <v>1360367</v>
      </c>
      <c r="R32" s="38">
        <v>3805291</v>
      </c>
      <c r="S32" s="38">
        <v>2280424</v>
      </c>
      <c r="T32" s="38">
        <v>2936927</v>
      </c>
      <c r="U32" s="38">
        <v>28622476</v>
      </c>
      <c r="V32" s="38">
        <v>22823766</v>
      </c>
      <c r="W32" s="38">
        <v>7912817</v>
      </c>
      <c r="X32" s="38">
        <v>5094884</v>
      </c>
      <c r="Y32" s="38">
        <v>14986875</v>
      </c>
      <c r="Z32" s="38">
        <v>6840647</v>
      </c>
      <c r="AA32" s="38">
        <v>4227609</v>
      </c>
      <c r="AB32" s="38">
        <v>24810456</v>
      </c>
      <c r="AC32" s="38">
        <v>6999656</v>
      </c>
      <c r="AD32" s="38">
        <v>3481462</v>
      </c>
      <c r="AE32" s="38">
        <v>4600680</v>
      </c>
      <c r="AF32" s="38">
        <v>1629722</v>
      </c>
      <c r="AG32" s="38">
        <v>1508855</v>
      </c>
      <c r="AH32" s="38">
        <v>2418433</v>
      </c>
      <c r="AI32" s="38">
        <v>7349</v>
      </c>
      <c r="AJ32" s="26">
        <v>235873995</v>
      </c>
      <c r="AK32" s="38">
        <v>6460233</v>
      </c>
      <c r="AL32" s="38">
        <v>0</v>
      </c>
      <c r="AM32" s="38">
        <v>104012843</v>
      </c>
      <c r="AN32" s="38">
        <v>15365704</v>
      </c>
      <c r="AO32" s="38">
        <v>0</v>
      </c>
      <c r="AP32" s="38">
        <v>0</v>
      </c>
      <c r="AQ32" s="38">
        <v>31221303</v>
      </c>
      <c r="AR32" s="26">
        <v>157060083</v>
      </c>
      <c r="AS32" s="27">
        <v>392934078</v>
      </c>
      <c r="AT32" s="42">
        <v>355695360</v>
      </c>
      <c r="AU32" s="38">
        <v>37238718</v>
      </c>
      <c r="AV32" s="38">
        <v>0</v>
      </c>
      <c r="AW32" s="38">
        <v>37238718</v>
      </c>
      <c r="AX32" s="38">
        <v>0</v>
      </c>
      <c r="AY32" s="38">
        <v>0</v>
      </c>
      <c r="AZ32" s="27">
        <v>392934078</v>
      </c>
      <c r="BA32" s="123"/>
    </row>
    <row r="33" spans="1:53" ht="13.5" customHeight="1">
      <c r="A33" s="72" t="s">
        <v>78</v>
      </c>
      <c r="B33" s="77" t="s">
        <v>18</v>
      </c>
      <c r="C33" s="38">
        <v>232607</v>
      </c>
      <c r="D33" s="38">
        <v>256192</v>
      </c>
      <c r="E33" s="38">
        <v>888725</v>
      </c>
      <c r="F33" s="38">
        <v>524167</v>
      </c>
      <c r="G33" s="38">
        <v>659457</v>
      </c>
      <c r="H33" s="38">
        <v>811324</v>
      </c>
      <c r="I33" s="38">
        <v>1947732</v>
      </c>
      <c r="J33" s="38">
        <v>341697</v>
      </c>
      <c r="K33" s="38">
        <v>2356312</v>
      </c>
      <c r="L33" s="38">
        <v>1409721</v>
      </c>
      <c r="M33" s="38">
        <v>2786694</v>
      </c>
      <c r="N33" s="38">
        <v>1013169</v>
      </c>
      <c r="O33" s="38">
        <v>895704</v>
      </c>
      <c r="P33" s="38">
        <v>4645446</v>
      </c>
      <c r="Q33" s="38">
        <v>216223</v>
      </c>
      <c r="R33" s="38">
        <v>4217670</v>
      </c>
      <c r="S33" s="38">
        <v>1358339</v>
      </c>
      <c r="T33" s="38">
        <v>1595665</v>
      </c>
      <c r="U33" s="38">
        <v>9747820</v>
      </c>
      <c r="V33" s="38">
        <v>13062215</v>
      </c>
      <c r="W33" s="38">
        <v>12267348</v>
      </c>
      <c r="X33" s="38">
        <v>1916900</v>
      </c>
      <c r="Y33" s="38">
        <v>9694849</v>
      </c>
      <c r="Z33" s="38">
        <v>9964464</v>
      </c>
      <c r="AA33" s="38">
        <v>12003595</v>
      </c>
      <c r="AB33" s="38">
        <v>17187438</v>
      </c>
      <c r="AC33" s="38">
        <v>12801755</v>
      </c>
      <c r="AD33" s="38">
        <v>5960451</v>
      </c>
      <c r="AE33" s="38">
        <v>3886241</v>
      </c>
      <c r="AF33" s="38">
        <v>3157354</v>
      </c>
      <c r="AG33" s="38">
        <v>3473401</v>
      </c>
      <c r="AH33" s="38">
        <v>928798</v>
      </c>
      <c r="AI33" s="38">
        <v>5248</v>
      </c>
      <c r="AJ33" s="26">
        <v>142214721</v>
      </c>
      <c r="AK33" s="38">
        <v>8531599</v>
      </c>
      <c r="AL33" s="38">
        <v>0</v>
      </c>
      <c r="AM33" s="38">
        <v>0</v>
      </c>
      <c r="AN33" s="38">
        <v>0</v>
      </c>
      <c r="AO33" s="38">
        <v>0</v>
      </c>
      <c r="AP33" s="38">
        <v>0</v>
      </c>
      <c r="AQ33" s="38">
        <v>15690205</v>
      </c>
      <c r="AR33" s="26">
        <v>24221804</v>
      </c>
      <c r="AS33" s="27">
        <v>166436525</v>
      </c>
      <c r="AT33" s="42">
        <v>144310956</v>
      </c>
      <c r="AU33" s="38">
        <v>22125569</v>
      </c>
      <c r="AV33" s="38">
        <v>0</v>
      </c>
      <c r="AW33" s="38">
        <v>22125569</v>
      </c>
      <c r="AX33" s="38">
        <v>0</v>
      </c>
      <c r="AY33" s="38">
        <v>0</v>
      </c>
      <c r="AZ33" s="27">
        <v>166436525</v>
      </c>
      <c r="BA33" s="123"/>
    </row>
    <row r="34" spans="1:53" ht="13.5" customHeight="1">
      <c r="A34" s="72" t="s">
        <v>79</v>
      </c>
      <c r="B34" s="77" t="s">
        <v>80</v>
      </c>
      <c r="C34" s="38">
        <v>109126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658474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8">
        <v>4326091</v>
      </c>
      <c r="AJ34" s="26">
        <v>5093691</v>
      </c>
      <c r="AK34" s="38">
        <v>4098405</v>
      </c>
      <c r="AL34" s="38">
        <v>193826946</v>
      </c>
      <c r="AM34" s="38">
        <v>0</v>
      </c>
      <c r="AN34" s="38">
        <v>0</v>
      </c>
      <c r="AO34" s="38">
        <v>0</v>
      </c>
      <c r="AP34" s="38">
        <v>0</v>
      </c>
      <c r="AQ34" s="38">
        <v>34003</v>
      </c>
      <c r="AR34" s="26">
        <v>197959354</v>
      </c>
      <c r="AS34" s="27">
        <v>203053045</v>
      </c>
      <c r="AT34" s="42">
        <v>202555649</v>
      </c>
      <c r="AU34" s="38">
        <v>497396</v>
      </c>
      <c r="AV34" s="38">
        <v>0</v>
      </c>
      <c r="AW34" s="38">
        <v>497396</v>
      </c>
      <c r="AX34" s="38">
        <v>0</v>
      </c>
      <c r="AY34" s="38">
        <v>0</v>
      </c>
      <c r="AZ34" s="27">
        <v>203053045</v>
      </c>
      <c r="BA34" s="123"/>
    </row>
    <row r="35" spans="1:53" ht="13.5" customHeight="1">
      <c r="A35" s="72" t="s">
        <v>81</v>
      </c>
      <c r="B35" s="77" t="s">
        <v>19</v>
      </c>
      <c r="C35" s="38">
        <v>3254</v>
      </c>
      <c r="D35" s="38">
        <v>1120</v>
      </c>
      <c r="E35" s="38">
        <v>41844</v>
      </c>
      <c r="F35" s="38">
        <v>10830</v>
      </c>
      <c r="G35" s="38">
        <v>22754</v>
      </c>
      <c r="H35" s="38">
        <v>31935</v>
      </c>
      <c r="I35" s="38">
        <v>135396</v>
      </c>
      <c r="J35" s="38">
        <v>20017</v>
      </c>
      <c r="K35" s="38">
        <v>81546</v>
      </c>
      <c r="L35" s="38">
        <v>107012</v>
      </c>
      <c r="M35" s="38">
        <v>83896</v>
      </c>
      <c r="N35" s="38">
        <v>77682</v>
      </c>
      <c r="O35" s="38">
        <v>102937</v>
      </c>
      <c r="P35" s="38">
        <v>65511</v>
      </c>
      <c r="Q35" s="38">
        <v>4493</v>
      </c>
      <c r="R35" s="38">
        <v>252388</v>
      </c>
      <c r="S35" s="38">
        <v>25845</v>
      </c>
      <c r="T35" s="38">
        <v>25311</v>
      </c>
      <c r="U35" s="38">
        <v>73874</v>
      </c>
      <c r="V35" s="38">
        <v>864077</v>
      </c>
      <c r="W35" s="38">
        <v>69496</v>
      </c>
      <c r="X35" s="38">
        <v>93517</v>
      </c>
      <c r="Y35" s="38">
        <v>149972</v>
      </c>
      <c r="Z35" s="38">
        <v>339905</v>
      </c>
      <c r="AA35" s="38">
        <v>184460</v>
      </c>
      <c r="AB35" s="38">
        <v>421279</v>
      </c>
      <c r="AC35" s="38">
        <v>83397</v>
      </c>
      <c r="AD35" s="38">
        <v>15198</v>
      </c>
      <c r="AE35" s="38">
        <v>76153</v>
      </c>
      <c r="AF35" s="38">
        <v>24040</v>
      </c>
      <c r="AG35" s="38">
        <v>21001</v>
      </c>
      <c r="AH35" s="38">
        <v>93883</v>
      </c>
      <c r="AI35" s="38">
        <v>676</v>
      </c>
      <c r="AJ35" s="26">
        <v>3604699</v>
      </c>
      <c r="AK35" s="38">
        <v>63476835</v>
      </c>
      <c r="AL35" s="38">
        <v>89090202</v>
      </c>
      <c r="AM35" s="38">
        <v>0</v>
      </c>
      <c r="AN35" s="38">
        <v>0</v>
      </c>
      <c r="AO35" s="38">
        <v>0</v>
      </c>
      <c r="AP35" s="38">
        <v>0</v>
      </c>
      <c r="AQ35" s="38">
        <v>319935</v>
      </c>
      <c r="AR35" s="26">
        <v>152886972</v>
      </c>
      <c r="AS35" s="27">
        <v>156491671</v>
      </c>
      <c r="AT35" s="42">
        <v>154338997</v>
      </c>
      <c r="AU35" s="38">
        <v>2152674</v>
      </c>
      <c r="AV35" s="38">
        <v>0</v>
      </c>
      <c r="AW35" s="38">
        <v>2152674</v>
      </c>
      <c r="AX35" s="38">
        <v>0</v>
      </c>
      <c r="AY35" s="38">
        <v>0</v>
      </c>
      <c r="AZ35" s="27">
        <v>156491671</v>
      </c>
      <c r="BA35" s="123"/>
    </row>
    <row r="36" spans="1:53" ht="13.5" customHeight="1">
      <c r="A36" s="72" t="s">
        <v>82</v>
      </c>
      <c r="B36" s="77" t="s">
        <v>138</v>
      </c>
      <c r="C36" s="38">
        <v>84351</v>
      </c>
      <c r="D36" s="38">
        <v>14497</v>
      </c>
      <c r="E36" s="38">
        <v>128422</v>
      </c>
      <c r="F36" s="38">
        <v>54243</v>
      </c>
      <c r="G36" s="38">
        <v>69491</v>
      </c>
      <c r="H36" s="38">
        <v>32427</v>
      </c>
      <c r="I36" s="38">
        <v>217065</v>
      </c>
      <c r="J36" s="38">
        <v>42381</v>
      </c>
      <c r="K36" s="38">
        <v>112512</v>
      </c>
      <c r="L36" s="38">
        <v>173400</v>
      </c>
      <c r="M36" s="38">
        <v>151296</v>
      </c>
      <c r="N36" s="38">
        <v>118630</v>
      </c>
      <c r="O36" s="38">
        <v>214771</v>
      </c>
      <c r="P36" s="38">
        <v>276179</v>
      </c>
      <c r="Q36" s="38">
        <v>30648</v>
      </c>
      <c r="R36" s="38">
        <v>207648</v>
      </c>
      <c r="S36" s="38">
        <v>36827</v>
      </c>
      <c r="T36" s="38">
        <v>141683</v>
      </c>
      <c r="U36" s="38">
        <v>396109</v>
      </c>
      <c r="V36" s="38">
        <v>1295505</v>
      </c>
      <c r="W36" s="38">
        <v>149288</v>
      </c>
      <c r="X36" s="38">
        <v>490823</v>
      </c>
      <c r="Y36" s="38">
        <v>305107</v>
      </c>
      <c r="Z36" s="38">
        <v>427331</v>
      </c>
      <c r="AA36" s="38">
        <v>224359</v>
      </c>
      <c r="AB36" s="38">
        <v>779138</v>
      </c>
      <c r="AC36" s="38">
        <v>272949</v>
      </c>
      <c r="AD36" s="38">
        <v>74029</v>
      </c>
      <c r="AE36" s="38">
        <v>294134</v>
      </c>
      <c r="AF36" s="38">
        <v>548317</v>
      </c>
      <c r="AG36" s="38">
        <v>203582</v>
      </c>
      <c r="AH36" s="38">
        <v>166511</v>
      </c>
      <c r="AI36" s="38">
        <v>853</v>
      </c>
      <c r="AJ36" s="26">
        <v>7734506</v>
      </c>
      <c r="AK36" s="38">
        <v>74155571</v>
      </c>
      <c r="AL36" s="38">
        <v>136924224</v>
      </c>
      <c r="AM36" s="38">
        <v>0</v>
      </c>
      <c r="AN36" s="38">
        <v>0</v>
      </c>
      <c r="AO36" s="38">
        <v>0</v>
      </c>
      <c r="AP36" s="38">
        <v>0</v>
      </c>
      <c r="AQ36" s="38">
        <v>766926</v>
      </c>
      <c r="AR36" s="26">
        <v>211846721</v>
      </c>
      <c r="AS36" s="27">
        <v>219581227</v>
      </c>
      <c r="AT36" s="42">
        <v>219151203</v>
      </c>
      <c r="AU36" s="38">
        <v>430024</v>
      </c>
      <c r="AV36" s="38">
        <v>0</v>
      </c>
      <c r="AW36" s="38">
        <v>430024</v>
      </c>
      <c r="AX36" s="38">
        <v>0</v>
      </c>
      <c r="AY36" s="38">
        <v>0</v>
      </c>
      <c r="AZ36" s="27">
        <v>219581227</v>
      </c>
      <c r="BA36" s="123"/>
    </row>
    <row r="37" spans="1:53" ht="13.5" customHeight="1">
      <c r="A37" s="72" t="s">
        <v>84</v>
      </c>
      <c r="B37" s="77" t="s">
        <v>85</v>
      </c>
      <c r="C37" s="38">
        <v>65624</v>
      </c>
      <c r="D37" s="38">
        <v>36520</v>
      </c>
      <c r="E37" s="38">
        <v>133790</v>
      </c>
      <c r="F37" s="38">
        <v>96597</v>
      </c>
      <c r="G37" s="38">
        <v>97174</v>
      </c>
      <c r="H37" s="38">
        <v>65952</v>
      </c>
      <c r="I37" s="38">
        <v>329184</v>
      </c>
      <c r="J37" s="38">
        <v>64236</v>
      </c>
      <c r="K37" s="38">
        <v>260337</v>
      </c>
      <c r="L37" s="38">
        <v>250041</v>
      </c>
      <c r="M37" s="38">
        <v>128017</v>
      </c>
      <c r="N37" s="38">
        <v>127452</v>
      </c>
      <c r="O37" s="38">
        <v>225010</v>
      </c>
      <c r="P37" s="38">
        <v>112948</v>
      </c>
      <c r="Q37" s="38">
        <v>33023</v>
      </c>
      <c r="R37" s="38">
        <v>270400</v>
      </c>
      <c r="S37" s="38">
        <v>55450</v>
      </c>
      <c r="T37" s="38">
        <v>123625</v>
      </c>
      <c r="U37" s="38">
        <v>262368</v>
      </c>
      <c r="V37" s="38">
        <v>388876</v>
      </c>
      <c r="W37" s="38">
        <v>637782</v>
      </c>
      <c r="X37" s="38">
        <v>136211</v>
      </c>
      <c r="Y37" s="38">
        <v>2065257</v>
      </c>
      <c r="Z37" s="38">
        <v>623398</v>
      </c>
      <c r="AA37" s="38">
        <v>269687</v>
      </c>
      <c r="AB37" s="38">
        <v>1931388</v>
      </c>
      <c r="AC37" s="38">
        <v>535378</v>
      </c>
      <c r="AD37" s="38">
        <v>166633</v>
      </c>
      <c r="AE37" s="38">
        <v>1103277</v>
      </c>
      <c r="AF37" s="38">
        <v>340119</v>
      </c>
      <c r="AG37" s="38">
        <v>2691433</v>
      </c>
      <c r="AH37" s="38">
        <v>369181</v>
      </c>
      <c r="AI37" s="38">
        <v>1604</v>
      </c>
      <c r="AJ37" s="26">
        <v>13997972</v>
      </c>
      <c r="AK37" s="38">
        <v>46878460</v>
      </c>
      <c r="AL37" s="38">
        <v>4781313</v>
      </c>
      <c r="AM37" s="38">
        <v>1094342</v>
      </c>
      <c r="AN37" s="38">
        <v>0</v>
      </c>
      <c r="AO37" s="38">
        <v>0</v>
      </c>
      <c r="AP37" s="38">
        <v>1272</v>
      </c>
      <c r="AQ37" s="38">
        <v>2880068</v>
      </c>
      <c r="AR37" s="26">
        <v>55635455</v>
      </c>
      <c r="AS37" s="27">
        <v>69633427</v>
      </c>
      <c r="AT37" s="42">
        <v>64700619</v>
      </c>
      <c r="AU37" s="38">
        <v>4932672</v>
      </c>
      <c r="AV37" s="38">
        <v>136</v>
      </c>
      <c r="AW37" s="38">
        <v>4932808</v>
      </c>
      <c r="AX37" s="38">
        <v>0</v>
      </c>
      <c r="AY37" s="38">
        <v>0</v>
      </c>
      <c r="AZ37" s="27">
        <v>69633427</v>
      </c>
      <c r="BA37" s="123"/>
    </row>
    <row r="38" spans="1:53" ht="13.5" customHeight="1">
      <c r="A38" s="72" t="s">
        <v>86</v>
      </c>
      <c r="B38" s="77" t="s">
        <v>87</v>
      </c>
      <c r="C38" s="38">
        <v>99840</v>
      </c>
      <c r="D38" s="38">
        <v>31140</v>
      </c>
      <c r="E38" s="38">
        <v>298331</v>
      </c>
      <c r="F38" s="38">
        <v>102590</v>
      </c>
      <c r="G38" s="38">
        <v>112019</v>
      </c>
      <c r="H38" s="38">
        <v>149736</v>
      </c>
      <c r="I38" s="38">
        <v>383963</v>
      </c>
      <c r="J38" s="38">
        <v>138133</v>
      </c>
      <c r="K38" s="38">
        <v>363796</v>
      </c>
      <c r="L38" s="38">
        <v>358040</v>
      </c>
      <c r="M38" s="38">
        <v>430903</v>
      </c>
      <c r="N38" s="38">
        <v>295152</v>
      </c>
      <c r="O38" s="38">
        <v>412933</v>
      </c>
      <c r="P38" s="38">
        <v>351127</v>
      </c>
      <c r="Q38" s="38">
        <v>37455</v>
      </c>
      <c r="R38" s="38">
        <v>625262</v>
      </c>
      <c r="S38" s="38">
        <v>66845</v>
      </c>
      <c r="T38" s="38">
        <v>363837</v>
      </c>
      <c r="U38" s="38">
        <v>595101</v>
      </c>
      <c r="V38" s="38">
        <v>3558930</v>
      </c>
      <c r="W38" s="38">
        <v>3307975</v>
      </c>
      <c r="X38" s="38">
        <v>647051</v>
      </c>
      <c r="Y38" s="38">
        <v>731847</v>
      </c>
      <c r="Z38" s="38">
        <v>931008</v>
      </c>
      <c r="AA38" s="38">
        <v>440411</v>
      </c>
      <c r="AB38" s="38">
        <v>2658213</v>
      </c>
      <c r="AC38" s="38">
        <v>1459730</v>
      </c>
      <c r="AD38" s="38">
        <v>355554</v>
      </c>
      <c r="AE38" s="38">
        <v>1314276</v>
      </c>
      <c r="AF38" s="38">
        <v>438915</v>
      </c>
      <c r="AG38" s="38">
        <v>521658</v>
      </c>
      <c r="AH38" s="38">
        <v>630784</v>
      </c>
      <c r="AI38" s="38">
        <v>843</v>
      </c>
      <c r="AJ38" s="26">
        <v>22213398</v>
      </c>
      <c r="AK38" s="38">
        <v>59295383</v>
      </c>
      <c r="AL38" s="38">
        <v>0</v>
      </c>
      <c r="AM38" s="38">
        <v>0</v>
      </c>
      <c r="AN38" s="38">
        <v>0</v>
      </c>
      <c r="AO38" s="38">
        <v>0</v>
      </c>
      <c r="AP38" s="38">
        <v>0</v>
      </c>
      <c r="AQ38" s="38">
        <v>1747533</v>
      </c>
      <c r="AR38" s="26">
        <v>61042916</v>
      </c>
      <c r="AS38" s="27">
        <v>83256314</v>
      </c>
      <c r="AT38" s="42">
        <v>81600115</v>
      </c>
      <c r="AU38" s="38">
        <v>1656199</v>
      </c>
      <c r="AV38" s="38">
        <v>0</v>
      </c>
      <c r="AW38" s="38">
        <v>1656199</v>
      </c>
      <c r="AX38" s="38">
        <v>0</v>
      </c>
      <c r="AY38" s="38">
        <v>0</v>
      </c>
      <c r="AZ38" s="27">
        <v>83256314</v>
      </c>
      <c r="BA38" s="123"/>
    </row>
    <row r="39" spans="1:53" ht="13.5" customHeight="1">
      <c r="A39" s="72" t="s">
        <v>88</v>
      </c>
      <c r="B39" s="77" t="s">
        <v>89</v>
      </c>
      <c r="C39" s="38">
        <v>269414</v>
      </c>
      <c r="D39" s="38">
        <v>15963</v>
      </c>
      <c r="E39" s="38">
        <v>83286</v>
      </c>
      <c r="F39" s="38">
        <v>18483</v>
      </c>
      <c r="G39" s="38">
        <v>75392</v>
      </c>
      <c r="H39" s="38">
        <v>137738</v>
      </c>
      <c r="I39" s="38">
        <v>792652</v>
      </c>
      <c r="J39" s="38">
        <v>23147</v>
      </c>
      <c r="K39" s="38">
        <v>42575</v>
      </c>
      <c r="L39" s="38">
        <v>131618</v>
      </c>
      <c r="M39" s="38">
        <v>63701</v>
      </c>
      <c r="N39" s="38">
        <v>54728</v>
      </c>
      <c r="O39" s="38">
        <v>91336</v>
      </c>
      <c r="P39" s="38">
        <v>23958</v>
      </c>
      <c r="Q39" s="38">
        <v>18948</v>
      </c>
      <c r="R39" s="38">
        <v>433554</v>
      </c>
      <c r="S39" s="38">
        <v>142445</v>
      </c>
      <c r="T39" s="38">
        <v>40948</v>
      </c>
      <c r="U39" s="38">
        <v>32265</v>
      </c>
      <c r="V39" s="38">
        <v>492128</v>
      </c>
      <c r="W39" s="38">
        <v>55217</v>
      </c>
      <c r="X39" s="38">
        <v>250478</v>
      </c>
      <c r="Y39" s="38">
        <v>428335</v>
      </c>
      <c r="Z39" s="38">
        <v>58639</v>
      </c>
      <c r="AA39" s="38">
        <v>537173</v>
      </c>
      <c r="AB39" s="38">
        <v>239556</v>
      </c>
      <c r="AC39" s="38">
        <v>179839</v>
      </c>
      <c r="AD39" s="38">
        <v>45902</v>
      </c>
      <c r="AE39" s="38">
        <v>36693</v>
      </c>
      <c r="AF39" s="38">
        <v>373801</v>
      </c>
      <c r="AG39" s="38">
        <v>101652</v>
      </c>
      <c r="AH39" s="38">
        <v>54194</v>
      </c>
      <c r="AI39" s="38">
        <v>109679</v>
      </c>
      <c r="AJ39" s="26">
        <v>5455437</v>
      </c>
      <c r="AK39" s="38">
        <v>-435478</v>
      </c>
      <c r="AL39" s="38">
        <v>0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26">
        <v>-435478</v>
      </c>
      <c r="AS39" s="27">
        <v>5019959</v>
      </c>
      <c r="AT39" s="42">
        <v>5019959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27">
        <v>5019959</v>
      </c>
      <c r="BA39" s="123"/>
    </row>
    <row r="40" spans="1:53" ht="13.5" customHeight="1">
      <c r="A40" s="91" t="s">
        <v>91</v>
      </c>
      <c r="B40" s="92" t="s">
        <v>20</v>
      </c>
      <c r="C40" s="40">
        <v>39166528</v>
      </c>
      <c r="D40" s="40">
        <v>3169491</v>
      </c>
      <c r="E40" s="40">
        <v>139457033</v>
      </c>
      <c r="F40" s="40">
        <v>57298913</v>
      </c>
      <c r="G40" s="40">
        <v>39700938</v>
      </c>
      <c r="H40" s="40">
        <v>143573392</v>
      </c>
      <c r="I40" s="40">
        <v>285565811</v>
      </c>
      <c r="J40" s="40">
        <v>37404675</v>
      </c>
      <c r="K40" s="40">
        <v>154477519</v>
      </c>
      <c r="L40" s="40">
        <v>92011168</v>
      </c>
      <c r="M40" s="40">
        <v>221737214</v>
      </c>
      <c r="N40" s="40">
        <v>135088695</v>
      </c>
      <c r="O40" s="40">
        <v>138660261</v>
      </c>
      <c r="P40" s="40">
        <v>269883451</v>
      </c>
      <c r="Q40" s="40">
        <v>21105797</v>
      </c>
      <c r="R40" s="40">
        <v>51124252</v>
      </c>
      <c r="S40" s="40">
        <v>120649253</v>
      </c>
      <c r="T40" s="40">
        <v>23032194</v>
      </c>
      <c r="U40" s="40">
        <v>199251516</v>
      </c>
      <c r="V40" s="40">
        <v>184102011</v>
      </c>
      <c r="W40" s="40">
        <v>125178243</v>
      </c>
      <c r="X40" s="40">
        <v>150662761</v>
      </c>
      <c r="Y40" s="40">
        <v>104063290</v>
      </c>
      <c r="Z40" s="40">
        <v>86678547</v>
      </c>
      <c r="AA40" s="40">
        <v>81055631</v>
      </c>
      <c r="AB40" s="40">
        <v>170997641</v>
      </c>
      <c r="AC40" s="40">
        <v>56091961</v>
      </c>
      <c r="AD40" s="40">
        <v>52243921</v>
      </c>
      <c r="AE40" s="40">
        <v>51016928</v>
      </c>
      <c r="AF40" s="40">
        <v>90583511</v>
      </c>
      <c r="AG40" s="40">
        <v>28521048</v>
      </c>
      <c r="AH40" s="40">
        <v>44847605</v>
      </c>
      <c r="AI40" s="40">
        <v>5019959</v>
      </c>
      <c r="AJ40" s="41">
        <v>3403421158</v>
      </c>
      <c r="AK40" s="40">
        <v>1203106723</v>
      </c>
      <c r="AL40" s="40">
        <v>428148599</v>
      </c>
      <c r="AM40" s="40">
        <v>642719412</v>
      </c>
      <c r="AN40" s="40">
        <v>114740934</v>
      </c>
      <c r="AO40" s="40">
        <v>8456630</v>
      </c>
      <c r="AP40" s="40">
        <v>2242835</v>
      </c>
      <c r="AQ40" s="40">
        <v>999815735</v>
      </c>
      <c r="AR40" s="41">
        <v>3399230868</v>
      </c>
      <c r="AS40" s="93">
        <v>6802652026</v>
      </c>
      <c r="AT40" s="94">
        <v>5786694739</v>
      </c>
      <c r="AU40" s="40">
        <v>990543488</v>
      </c>
      <c r="AV40" s="40">
        <v>25413799</v>
      </c>
      <c r="AW40" s="40">
        <v>1015957287</v>
      </c>
      <c r="AX40" s="40">
        <v>0</v>
      </c>
      <c r="AY40" s="40">
        <v>0</v>
      </c>
      <c r="AZ40" s="93">
        <v>6802652026</v>
      </c>
    </row>
    <row r="41" spans="1:53" ht="13.5" customHeight="1">
      <c r="A41" s="95" t="s">
        <v>92</v>
      </c>
      <c r="B41" s="73" t="s">
        <v>21</v>
      </c>
      <c r="C41" s="38">
        <v>7311007</v>
      </c>
      <c r="D41" s="38">
        <v>763130</v>
      </c>
      <c r="E41" s="38">
        <v>15128140</v>
      </c>
      <c r="F41" s="38">
        <v>6942083</v>
      </c>
      <c r="G41" s="38">
        <v>7714470</v>
      </c>
      <c r="H41" s="38">
        <v>1849380</v>
      </c>
      <c r="I41" s="38">
        <v>33024939</v>
      </c>
      <c r="J41" s="38">
        <v>5591739</v>
      </c>
      <c r="K41" s="38">
        <v>12874780</v>
      </c>
      <c r="L41" s="38">
        <v>22094377</v>
      </c>
      <c r="M41" s="38">
        <v>38330264</v>
      </c>
      <c r="N41" s="38">
        <v>18684449</v>
      </c>
      <c r="O41" s="38">
        <v>28417504</v>
      </c>
      <c r="P41" s="38">
        <v>24629085</v>
      </c>
      <c r="Q41" s="38">
        <v>4430442</v>
      </c>
      <c r="R41" s="38">
        <v>30392667</v>
      </c>
      <c r="S41" s="38">
        <v>7229124</v>
      </c>
      <c r="T41" s="38">
        <v>9301644</v>
      </c>
      <c r="U41" s="38">
        <v>108270135</v>
      </c>
      <c r="V41" s="38">
        <v>105848898</v>
      </c>
      <c r="W41" s="38">
        <v>45972783</v>
      </c>
      <c r="X41" s="38">
        <v>37217436</v>
      </c>
      <c r="Y41" s="38">
        <v>48448668</v>
      </c>
      <c r="Z41" s="38">
        <v>52077047</v>
      </c>
      <c r="AA41" s="38">
        <v>23572589</v>
      </c>
      <c r="AB41" s="38">
        <v>119508944</v>
      </c>
      <c r="AC41" s="38">
        <v>53019085</v>
      </c>
      <c r="AD41" s="38">
        <v>89879718</v>
      </c>
      <c r="AE41" s="38">
        <v>84723533</v>
      </c>
      <c r="AF41" s="38">
        <v>91542475</v>
      </c>
      <c r="AG41" s="38">
        <v>14325783</v>
      </c>
      <c r="AH41" s="38">
        <v>21260262</v>
      </c>
      <c r="AI41" s="38">
        <v>0</v>
      </c>
      <c r="AJ41" s="26">
        <v>1170376580</v>
      </c>
      <c r="AK41" s="29"/>
      <c r="AL41" s="29"/>
      <c r="AM41" s="29"/>
      <c r="AN41" s="29"/>
      <c r="AO41" s="29"/>
      <c r="AP41" s="29"/>
      <c r="AQ41" s="29"/>
      <c r="AR41" s="29"/>
      <c r="AS41" s="29"/>
      <c r="AT41" s="30"/>
      <c r="AU41" s="30"/>
      <c r="AV41" s="30"/>
      <c r="AW41" s="30"/>
      <c r="AX41" s="30"/>
      <c r="AY41" s="30"/>
      <c r="AZ41" s="30"/>
    </row>
    <row r="42" spans="1:53" ht="13.5" customHeight="1">
      <c r="A42" s="95" t="s">
        <v>93</v>
      </c>
      <c r="B42" s="73" t="s">
        <v>22</v>
      </c>
      <c r="C42" s="38">
        <v>20790625</v>
      </c>
      <c r="D42" s="38">
        <v>907945</v>
      </c>
      <c r="E42" s="38">
        <v>6246706</v>
      </c>
      <c r="F42" s="38">
        <v>1230526</v>
      </c>
      <c r="G42" s="38">
        <v>5894202</v>
      </c>
      <c r="H42" s="38">
        <v>10160438</v>
      </c>
      <c r="I42" s="38">
        <v>26725452</v>
      </c>
      <c r="J42" s="38">
        <v>2061144</v>
      </c>
      <c r="K42" s="38">
        <v>12662963</v>
      </c>
      <c r="L42" s="38">
        <v>15468441</v>
      </c>
      <c r="M42" s="38">
        <v>-2691522</v>
      </c>
      <c r="N42" s="38">
        <v>509104</v>
      </c>
      <c r="O42" s="38">
        <v>5170759</v>
      </c>
      <c r="P42" s="38">
        <v>8332412</v>
      </c>
      <c r="Q42" s="38">
        <v>1502834</v>
      </c>
      <c r="R42" s="38">
        <v>4585557</v>
      </c>
      <c r="S42" s="38">
        <v>-117531</v>
      </c>
      <c r="T42" s="38">
        <v>4067693</v>
      </c>
      <c r="U42" s="38">
        <v>6664903</v>
      </c>
      <c r="V42" s="38">
        <v>71028220</v>
      </c>
      <c r="W42" s="38">
        <v>16697450</v>
      </c>
      <c r="X42" s="38">
        <v>17852378</v>
      </c>
      <c r="Y42" s="38">
        <v>24101295</v>
      </c>
      <c r="Z42" s="38">
        <v>68918948</v>
      </c>
      <c r="AA42" s="38">
        <v>64506524</v>
      </c>
      <c r="AB42" s="38">
        <v>32838525</v>
      </c>
      <c r="AC42" s="38">
        <v>24595921</v>
      </c>
      <c r="AD42" s="38">
        <v>0</v>
      </c>
      <c r="AE42" s="38">
        <v>5753379</v>
      </c>
      <c r="AF42" s="38">
        <v>22888082</v>
      </c>
      <c r="AG42" s="38">
        <v>8967271</v>
      </c>
      <c r="AH42" s="38">
        <v>7606932</v>
      </c>
      <c r="AI42" s="38">
        <v>0</v>
      </c>
      <c r="AJ42" s="26">
        <v>495927576</v>
      </c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3" ht="13.5" customHeight="1">
      <c r="A43" s="95" t="s">
        <v>94</v>
      </c>
      <c r="B43" s="73" t="s">
        <v>23</v>
      </c>
      <c r="C43" s="38">
        <v>6826925</v>
      </c>
      <c r="D43" s="38">
        <v>492826</v>
      </c>
      <c r="E43" s="38">
        <v>7184340</v>
      </c>
      <c r="F43" s="38">
        <v>2607552</v>
      </c>
      <c r="G43" s="38">
        <v>1594645</v>
      </c>
      <c r="H43" s="38">
        <v>3179003</v>
      </c>
      <c r="I43" s="38">
        <v>26775718</v>
      </c>
      <c r="J43" s="38">
        <v>4858806</v>
      </c>
      <c r="K43" s="38">
        <v>10685788</v>
      </c>
      <c r="L43" s="38">
        <v>5299685</v>
      </c>
      <c r="M43" s="38">
        <v>59980214</v>
      </c>
      <c r="N43" s="38">
        <v>16524948</v>
      </c>
      <c r="O43" s="38">
        <v>11389415</v>
      </c>
      <c r="P43" s="38">
        <v>27105345</v>
      </c>
      <c r="Q43" s="38">
        <v>906543</v>
      </c>
      <c r="R43" s="38">
        <v>10150938</v>
      </c>
      <c r="S43" s="38">
        <v>20286757</v>
      </c>
      <c r="T43" s="38">
        <v>5288608</v>
      </c>
      <c r="U43" s="38">
        <v>6766250</v>
      </c>
      <c r="V43" s="38">
        <v>18105570</v>
      </c>
      <c r="W43" s="38">
        <v>36332814</v>
      </c>
      <c r="X43" s="38">
        <v>5371797</v>
      </c>
      <c r="Y43" s="38">
        <v>35261097</v>
      </c>
      <c r="Z43" s="38">
        <v>12984833</v>
      </c>
      <c r="AA43" s="38">
        <v>69279349</v>
      </c>
      <c r="AB43" s="38">
        <v>28647148</v>
      </c>
      <c r="AC43" s="38">
        <v>7189528</v>
      </c>
      <c r="AD43" s="38">
        <v>60428502</v>
      </c>
      <c r="AE43" s="38">
        <v>12635621</v>
      </c>
      <c r="AF43" s="38">
        <v>13918268</v>
      </c>
      <c r="AG43" s="38">
        <v>6439170</v>
      </c>
      <c r="AH43" s="38">
        <v>4683288</v>
      </c>
      <c r="AI43" s="38">
        <v>0</v>
      </c>
      <c r="AJ43" s="26">
        <v>539181291</v>
      </c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3" ht="13.5" customHeight="1">
      <c r="A44" s="95" t="s">
        <v>95</v>
      </c>
      <c r="B44" s="73" t="s">
        <v>39</v>
      </c>
      <c r="C44" s="38">
        <v>-27016</v>
      </c>
      <c r="D44" s="38">
        <v>-6795</v>
      </c>
      <c r="E44" s="38">
        <v>14378726</v>
      </c>
      <c r="F44" s="38">
        <v>2081072</v>
      </c>
      <c r="G44" s="38">
        <v>1110431</v>
      </c>
      <c r="H44" s="38">
        <v>17800753</v>
      </c>
      <c r="I44" s="38">
        <v>4534298</v>
      </c>
      <c r="J44" s="38">
        <v>911160</v>
      </c>
      <c r="K44" s="38">
        <v>1198062</v>
      </c>
      <c r="L44" s="38">
        <v>1425139</v>
      </c>
      <c r="M44" s="38">
        <v>2455564</v>
      </c>
      <c r="N44" s="38">
        <v>1946311</v>
      </c>
      <c r="O44" s="38">
        <v>1845434</v>
      </c>
      <c r="P44" s="38">
        <v>7185378</v>
      </c>
      <c r="Q44" s="38">
        <v>997653</v>
      </c>
      <c r="R44" s="38">
        <v>548886</v>
      </c>
      <c r="S44" s="38">
        <v>3631197</v>
      </c>
      <c r="T44" s="38">
        <v>108881</v>
      </c>
      <c r="U44" s="38">
        <v>21285495</v>
      </c>
      <c r="V44" s="38">
        <v>17403973</v>
      </c>
      <c r="W44" s="38">
        <v>-2966019</v>
      </c>
      <c r="X44" s="38">
        <v>12631432</v>
      </c>
      <c r="Y44" s="38">
        <v>6428467</v>
      </c>
      <c r="Z44" s="38">
        <v>10283809</v>
      </c>
      <c r="AA44" s="38">
        <v>33396994</v>
      </c>
      <c r="AB44" s="38">
        <v>3703102</v>
      </c>
      <c r="AC44" s="38">
        <v>3414461</v>
      </c>
      <c r="AD44" s="38">
        <v>3508</v>
      </c>
      <c r="AE44" s="38">
        <v>209536</v>
      </c>
      <c r="AF44" s="38">
        <v>218867</v>
      </c>
      <c r="AG44" s="38">
        <v>6447347</v>
      </c>
      <c r="AH44" s="38">
        <v>3202028</v>
      </c>
      <c r="AI44" s="38">
        <v>0</v>
      </c>
      <c r="AJ44" s="26">
        <v>177788134</v>
      </c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3" ht="13.5" customHeight="1">
      <c r="A45" s="96" t="s">
        <v>96</v>
      </c>
      <c r="B45" s="97" t="s">
        <v>24</v>
      </c>
      <c r="C45" s="28">
        <v>34901541</v>
      </c>
      <c r="D45" s="28">
        <v>2157106</v>
      </c>
      <c r="E45" s="28">
        <v>42937912</v>
      </c>
      <c r="F45" s="28">
        <v>12861233</v>
      </c>
      <c r="G45" s="28">
        <v>16313748</v>
      </c>
      <c r="H45" s="28">
        <v>32989574</v>
      </c>
      <c r="I45" s="28">
        <v>91060407</v>
      </c>
      <c r="J45" s="28">
        <v>13422849</v>
      </c>
      <c r="K45" s="28">
        <v>37421593</v>
      </c>
      <c r="L45" s="28">
        <v>44287642</v>
      </c>
      <c r="M45" s="28">
        <v>98074520</v>
      </c>
      <c r="N45" s="28">
        <v>37664812</v>
      </c>
      <c r="O45" s="28">
        <v>46823112</v>
      </c>
      <c r="P45" s="28">
        <v>67252220</v>
      </c>
      <c r="Q45" s="28">
        <v>7837472</v>
      </c>
      <c r="R45" s="28">
        <v>45678048</v>
      </c>
      <c r="S45" s="28">
        <v>31029547</v>
      </c>
      <c r="T45" s="28">
        <v>18766826</v>
      </c>
      <c r="U45" s="28">
        <v>142986783</v>
      </c>
      <c r="V45" s="28">
        <v>212386661</v>
      </c>
      <c r="W45" s="28">
        <v>96037028</v>
      </c>
      <c r="X45" s="28">
        <v>73073043</v>
      </c>
      <c r="Y45" s="28">
        <v>114239527</v>
      </c>
      <c r="Z45" s="28">
        <v>144264637</v>
      </c>
      <c r="AA45" s="28">
        <v>190755456</v>
      </c>
      <c r="AB45" s="28">
        <v>184697719</v>
      </c>
      <c r="AC45" s="28">
        <v>88218995</v>
      </c>
      <c r="AD45" s="28">
        <v>150311728</v>
      </c>
      <c r="AE45" s="28">
        <v>103322069</v>
      </c>
      <c r="AF45" s="28">
        <v>128567692</v>
      </c>
      <c r="AG45" s="28">
        <v>36179571</v>
      </c>
      <c r="AH45" s="28">
        <v>36752510</v>
      </c>
      <c r="AI45" s="28">
        <v>0</v>
      </c>
      <c r="AJ45" s="98">
        <v>2383273581</v>
      </c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3" ht="13.5" customHeight="1">
      <c r="A46" s="96" t="s">
        <v>97</v>
      </c>
      <c r="B46" s="97" t="s">
        <v>41</v>
      </c>
      <c r="C46" s="28">
        <v>74068069</v>
      </c>
      <c r="D46" s="28">
        <v>5326597</v>
      </c>
      <c r="E46" s="28">
        <v>182394945</v>
      </c>
      <c r="F46" s="28">
        <v>70160146</v>
      </c>
      <c r="G46" s="28">
        <v>56014686</v>
      </c>
      <c r="H46" s="28">
        <v>176562966</v>
      </c>
      <c r="I46" s="28">
        <v>376626218</v>
      </c>
      <c r="J46" s="28">
        <v>50827524</v>
      </c>
      <c r="K46" s="28">
        <v>191899112</v>
      </c>
      <c r="L46" s="28">
        <v>136298810</v>
      </c>
      <c r="M46" s="28">
        <v>319811734</v>
      </c>
      <c r="N46" s="28">
        <v>172753507</v>
      </c>
      <c r="O46" s="28">
        <v>185483373</v>
      </c>
      <c r="P46" s="28">
        <v>337135671</v>
      </c>
      <c r="Q46" s="28">
        <v>28943269</v>
      </c>
      <c r="R46" s="28">
        <v>96802300</v>
      </c>
      <c r="S46" s="28">
        <v>151678800</v>
      </c>
      <c r="T46" s="28">
        <v>41799020</v>
      </c>
      <c r="U46" s="28">
        <v>342238299</v>
      </c>
      <c r="V46" s="28">
        <v>396488672</v>
      </c>
      <c r="W46" s="28">
        <v>221215271</v>
      </c>
      <c r="X46" s="28">
        <v>223735804</v>
      </c>
      <c r="Y46" s="28">
        <v>218302817</v>
      </c>
      <c r="Z46" s="28">
        <v>230943184</v>
      </c>
      <c r="AA46" s="28">
        <v>271811087</v>
      </c>
      <c r="AB46" s="28">
        <v>355695360</v>
      </c>
      <c r="AC46" s="28">
        <v>144310956</v>
      </c>
      <c r="AD46" s="28">
        <v>202555649</v>
      </c>
      <c r="AE46" s="28">
        <v>154338997</v>
      </c>
      <c r="AF46" s="28">
        <v>219151203</v>
      </c>
      <c r="AG46" s="28">
        <v>64700619</v>
      </c>
      <c r="AH46" s="28">
        <v>81600115</v>
      </c>
      <c r="AI46" s="28">
        <v>5019959</v>
      </c>
      <c r="AJ46" s="98">
        <v>5786694739</v>
      </c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3" ht="13.5" customHeight="1">
      <c r="A47" s="71" t="s">
        <v>115</v>
      </c>
      <c r="B47" s="71" t="s">
        <v>120</v>
      </c>
      <c r="C47" s="9">
        <v>26208380</v>
      </c>
      <c r="D47" s="9">
        <v>2042881.5999817885</v>
      </c>
      <c r="E47" s="9">
        <v>2065050.0000000002</v>
      </c>
      <c r="F47" s="9">
        <v>4524770</v>
      </c>
      <c r="G47" s="9">
        <v>2843750</v>
      </c>
      <c r="H47" s="9">
        <v>36281629.567042917</v>
      </c>
      <c r="I47" s="9">
        <v>84687500</v>
      </c>
      <c r="J47" s="9">
        <v>35157346.032126516</v>
      </c>
      <c r="K47" s="9">
        <v>102537669.99999999</v>
      </c>
      <c r="L47" s="9">
        <v>368275.38266030874</v>
      </c>
      <c r="M47" s="9">
        <v>3829179.9788428782</v>
      </c>
      <c r="N47" s="9">
        <v>123929.88878779384</v>
      </c>
      <c r="O47" s="9">
        <v>6926969.9999999991</v>
      </c>
      <c r="P47" s="9">
        <v>2362190</v>
      </c>
      <c r="Q47" s="9">
        <v>3595100.7620893372</v>
      </c>
      <c r="R47" s="9">
        <v>1648577.9554931689</v>
      </c>
      <c r="S47" s="9">
        <v>229332018.83297527</v>
      </c>
      <c r="T47" s="9">
        <v>18172000</v>
      </c>
      <c r="U47" s="9">
        <v>1813020</v>
      </c>
      <c r="V47" s="9">
        <v>1433144.6534375222</v>
      </c>
      <c r="W47" s="9">
        <v>101159784.67216459</v>
      </c>
      <c r="X47" s="9">
        <v>2253064.9636808308</v>
      </c>
      <c r="Y47" s="9">
        <v>101446.17045806264</v>
      </c>
      <c r="Z47" s="9">
        <v>132046.07240723589</v>
      </c>
      <c r="AA47" s="9">
        <v>236199.082283881</v>
      </c>
      <c r="AB47" s="9">
        <v>1892727.0370475345</v>
      </c>
      <c r="AC47" s="9">
        <v>157565.48930203504</v>
      </c>
      <c r="AD47" s="9">
        <v>6015859.8701946959</v>
      </c>
      <c r="AE47" s="9">
        <v>2189527.7906128233</v>
      </c>
      <c r="AF47" s="9">
        <v>1803187.2434054068</v>
      </c>
      <c r="AG47" s="9">
        <v>373361.73616845929</v>
      </c>
      <c r="AH47" s="9">
        <v>422069.89100151369</v>
      </c>
      <c r="AI47" s="9">
        <v>0</v>
      </c>
      <c r="AJ47" s="9">
        <f>SUM(C47:AI47)</f>
        <v>682690224.67216456</v>
      </c>
    </row>
  </sheetData>
  <mergeCells count="1">
    <mergeCell ref="A5:B6"/>
  </mergeCells>
  <phoneticPr fontId="19" type="noConversion"/>
  <conditionalFormatting sqref="C1:AI1">
    <cfRule type="cellIs" dxfId="1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727F-5942-424D-A3B2-2F98241C0E71}">
  <sheetPr>
    <tabColor theme="5"/>
  </sheetPr>
  <dimension ref="A1:AT41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AJ9" sqref="AJ9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42" width="18.625" style="1"/>
    <col min="43" max="43" width="18.625" style="55"/>
    <col min="44" max="16384" width="18.625" style="1"/>
  </cols>
  <sheetData>
    <row r="1" spans="1:45" ht="13.5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53"/>
    </row>
    <row r="2" spans="1:45" ht="13.5" customHeight="1">
      <c r="B2" s="12"/>
      <c r="C2" s="52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54"/>
      <c r="AR2" s="13"/>
      <c r="AS2" s="13"/>
    </row>
    <row r="3" spans="1:45" ht="13.5" customHeight="1">
      <c r="B3" s="2"/>
    </row>
    <row r="4" spans="1:45" s="10" customFormat="1" ht="13.5" customHeight="1">
      <c r="A4" s="21"/>
      <c r="B4" s="15"/>
      <c r="AJ4" s="1"/>
      <c r="AK4" s="50"/>
      <c r="AL4" s="50"/>
      <c r="AM4" s="50"/>
      <c r="AN4" s="50"/>
      <c r="AO4" s="50"/>
      <c r="AP4" s="14"/>
      <c r="AQ4" s="56"/>
      <c r="AR4" s="14"/>
    </row>
    <row r="5" spans="1:45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34" t="s">
        <v>50</v>
      </c>
      <c r="J5" s="34" t="s">
        <v>51</v>
      </c>
      <c r="K5" s="34" t="s">
        <v>52</v>
      </c>
      <c r="L5" s="34" t="s">
        <v>53</v>
      </c>
      <c r="M5" s="34" t="s">
        <v>55</v>
      </c>
      <c r="N5" s="34" t="s">
        <v>57</v>
      </c>
      <c r="O5" s="34" t="s">
        <v>59</v>
      </c>
      <c r="P5" s="34" t="s">
        <v>60</v>
      </c>
      <c r="Q5" s="34" t="s">
        <v>61</v>
      </c>
      <c r="R5" s="34" t="s">
        <v>63</v>
      </c>
      <c r="S5" s="34" t="s">
        <v>65</v>
      </c>
      <c r="T5" s="34" t="s">
        <v>66</v>
      </c>
      <c r="U5" s="34" t="s">
        <v>68</v>
      </c>
      <c r="V5" s="34" t="s">
        <v>69</v>
      </c>
      <c r="W5" s="34" t="s">
        <v>71</v>
      </c>
      <c r="X5" s="34" t="s">
        <v>72</v>
      </c>
      <c r="Y5" s="34" t="s">
        <v>73</v>
      </c>
      <c r="Z5" s="34" t="s">
        <v>74</v>
      </c>
      <c r="AA5" s="34" t="s">
        <v>75</v>
      </c>
      <c r="AB5" s="34" t="s">
        <v>77</v>
      </c>
      <c r="AC5" s="34" t="s">
        <v>78</v>
      </c>
      <c r="AD5" s="34" t="s">
        <v>79</v>
      </c>
      <c r="AE5" s="34" t="s">
        <v>81</v>
      </c>
      <c r="AF5" s="34" t="s">
        <v>82</v>
      </c>
      <c r="AG5" s="34" t="s">
        <v>84</v>
      </c>
      <c r="AH5" s="34" t="s">
        <v>86</v>
      </c>
      <c r="AI5" s="34" t="s">
        <v>88</v>
      </c>
      <c r="AJ5" s="35" t="s">
        <v>98</v>
      </c>
      <c r="AK5" s="36" t="s">
        <v>99</v>
      </c>
      <c r="AL5" s="36" t="s">
        <v>100</v>
      </c>
      <c r="AM5" s="36" t="s">
        <v>101</v>
      </c>
      <c r="AN5" s="36" t="s">
        <v>102</v>
      </c>
      <c r="AO5" s="36" t="s">
        <v>103</v>
      </c>
      <c r="AP5" s="36" t="s">
        <v>104</v>
      </c>
      <c r="AQ5" s="57" t="s">
        <v>105</v>
      </c>
      <c r="AR5" s="43" t="s">
        <v>106</v>
      </c>
      <c r="AS5" s="43" t="s">
        <v>107</v>
      </c>
    </row>
    <row r="6" spans="1:45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51" t="s">
        <v>8</v>
      </c>
      <c r="J6" s="51" t="s">
        <v>9</v>
      </c>
      <c r="K6" s="51" t="s">
        <v>10</v>
      </c>
      <c r="L6" s="51" t="s">
        <v>54</v>
      </c>
      <c r="M6" s="51" t="s">
        <v>56</v>
      </c>
      <c r="N6" s="51" t="s">
        <v>58</v>
      </c>
      <c r="O6" s="51" t="s">
        <v>11</v>
      </c>
      <c r="P6" s="51" t="s">
        <v>12</v>
      </c>
      <c r="Q6" s="51" t="s">
        <v>62</v>
      </c>
      <c r="R6" s="51" t="s">
        <v>64</v>
      </c>
      <c r="S6" s="51" t="s">
        <v>13</v>
      </c>
      <c r="T6" s="51" t="s">
        <v>67</v>
      </c>
      <c r="U6" s="51" t="s">
        <v>14</v>
      </c>
      <c r="V6" s="51" t="s">
        <v>70</v>
      </c>
      <c r="W6" s="51" t="s">
        <v>42</v>
      </c>
      <c r="X6" s="51" t="s">
        <v>15</v>
      </c>
      <c r="Y6" s="51" t="s">
        <v>16</v>
      </c>
      <c r="Z6" s="51" t="s">
        <v>17</v>
      </c>
      <c r="AA6" s="51" t="s">
        <v>76</v>
      </c>
      <c r="AB6" s="51" t="s">
        <v>43</v>
      </c>
      <c r="AC6" s="51" t="s">
        <v>18</v>
      </c>
      <c r="AD6" s="51" t="s">
        <v>80</v>
      </c>
      <c r="AE6" s="51" t="s">
        <v>19</v>
      </c>
      <c r="AF6" s="51" t="s">
        <v>83</v>
      </c>
      <c r="AG6" s="51" t="s">
        <v>85</v>
      </c>
      <c r="AH6" s="51" t="s">
        <v>87</v>
      </c>
      <c r="AI6" s="51" t="s">
        <v>89</v>
      </c>
      <c r="AJ6" s="23" t="s">
        <v>26</v>
      </c>
      <c r="AK6" s="49" t="s">
        <v>38</v>
      </c>
      <c r="AL6" s="20" t="s">
        <v>27</v>
      </c>
      <c r="AM6" s="20" t="s">
        <v>28</v>
      </c>
      <c r="AN6" s="20" t="s">
        <v>29</v>
      </c>
      <c r="AO6" s="20" t="s">
        <v>30</v>
      </c>
      <c r="AP6" s="20" t="s">
        <v>31</v>
      </c>
      <c r="AQ6" s="58" t="s">
        <v>32</v>
      </c>
      <c r="AR6" s="24" t="s">
        <v>33</v>
      </c>
      <c r="AS6" s="24" t="s">
        <v>34</v>
      </c>
    </row>
    <row r="7" spans="1:45" ht="13.5" customHeight="1">
      <c r="A7" s="44" t="s">
        <v>44</v>
      </c>
      <c r="B7" s="15" t="s">
        <v>2</v>
      </c>
      <c r="C7" s="38">
        <v>3770505</v>
      </c>
      <c r="D7" s="38">
        <v>3469</v>
      </c>
      <c r="E7" s="38">
        <v>34517696</v>
      </c>
      <c r="F7" s="38">
        <v>38677</v>
      </c>
      <c r="G7" s="38">
        <v>277682</v>
      </c>
      <c r="H7" s="38">
        <v>4203</v>
      </c>
      <c r="I7" s="38">
        <v>555663</v>
      </c>
      <c r="J7" s="38">
        <v>3614</v>
      </c>
      <c r="K7" s="38">
        <v>6461</v>
      </c>
      <c r="L7" s="38">
        <v>7383</v>
      </c>
      <c r="M7" s="38">
        <v>7338</v>
      </c>
      <c r="N7" s="38">
        <v>2082</v>
      </c>
      <c r="O7" s="38">
        <v>6967</v>
      </c>
      <c r="P7" s="38">
        <v>2303</v>
      </c>
      <c r="Q7" s="38">
        <v>12637</v>
      </c>
      <c r="R7" s="38">
        <v>536115</v>
      </c>
      <c r="S7" s="38">
        <v>3751</v>
      </c>
      <c r="T7" s="38">
        <v>12739</v>
      </c>
      <c r="U7" s="38">
        <v>363655</v>
      </c>
      <c r="V7" s="38">
        <v>101278</v>
      </c>
      <c r="W7" s="38">
        <v>13100</v>
      </c>
      <c r="X7" s="38">
        <v>12633334</v>
      </c>
      <c r="Y7" s="38">
        <v>14422</v>
      </c>
      <c r="Z7" s="38">
        <v>11833</v>
      </c>
      <c r="AA7" s="38">
        <v>7087</v>
      </c>
      <c r="AB7" s="38">
        <v>68851</v>
      </c>
      <c r="AC7" s="38">
        <v>20544</v>
      </c>
      <c r="AD7" s="38">
        <v>314883</v>
      </c>
      <c r="AE7" s="38">
        <v>713174</v>
      </c>
      <c r="AF7" s="38">
        <v>800522</v>
      </c>
      <c r="AG7" s="38">
        <v>70580</v>
      </c>
      <c r="AH7" s="38">
        <v>72609</v>
      </c>
      <c r="AI7" s="38">
        <v>3405</v>
      </c>
      <c r="AJ7" s="26">
        <v>54978562</v>
      </c>
      <c r="AK7" s="38">
        <v>17086310</v>
      </c>
      <c r="AL7" s="38">
        <v>0</v>
      </c>
      <c r="AM7" s="38">
        <v>926994</v>
      </c>
      <c r="AN7" s="38">
        <v>683</v>
      </c>
      <c r="AO7" s="38">
        <v>-72696</v>
      </c>
      <c r="AP7" s="38">
        <v>0</v>
      </c>
      <c r="AQ7" s="59">
        <v>1148216</v>
      </c>
      <c r="AR7" s="27">
        <v>19089507</v>
      </c>
      <c r="AS7" s="26">
        <v>74068069</v>
      </c>
    </row>
    <row r="8" spans="1:45" ht="13.5" customHeight="1">
      <c r="A8" s="44" t="s">
        <v>45</v>
      </c>
      <c r="B8" s="15" t="s">
        <v>3</v>
      </c>
      <c r="C8" s="38">
        <v>2055</v>
      </c>
      <c r="D8" s="38">
        <v>2999</v>
      </c>
      <c r="E8" s="38">
        <v>41769</v>
      </c>
      <c r="F8" s="38">
        <v>2547</v>
      </c>
      <c r="G8" s="38">
        <v>11840</v>
      </c>
      <c r="H8" s="38">
        <v>112216</v>
      </c>
      <c r="I8" s="38">
        <v>373203</v>
      </c>
      <c r="J8" s="38">
        <v>3949468</v>
      </c>
      <c r="K8" s="38">
        <v>229276</v>
      </c>
      <c r="L8" s="38">
        <v>35343</v>
      </c>
      <c r="M8" s="38">
        <v>34809</v>
      </c>
      <c r="N8" s="38">
        <v>6206</v>
      </c>
      <c r="O8" s="38">
        <v>13252</v>
      </c>
      <c r="P8" s="38">
        <v>2213</v>
      </c>
      <c r="Q8" s="38">
        <v>2564</v>
      </c>
      <c r="R8" s="38">
        <v>18236</v>
      </c>
      <c r="S8" s="38">
        <v>127358</v>
      </c>
      <c r="T8" s="38">
        <v>53587</v>
      </c>
      <c r="U8" s="38">
        <v>249151</v>
      </c>
      <c r="V8" s="38">
        <v>0</v>
      </c>
      <c r="W8" s="38">
        <v>0</v>
      </c>
      <c r="X8" s="38">
        <v>12965</v>
      </c>
      <c r="Y8" s="38">
        <v>0</v>
      </c>
      <c r="Z8" s="38">
        <v>0</v>
      </c>
      <c r="AA8" s="38">
        <v>141</v>
      </c>
      <c r="AB8" s="38">
        <v>6011</v>
      </c>
      <c r="AC8" s="38">
        <v>13414</v>
      </c>
      <c r="AD8" s="38">
        <v>16750</v>
      </c>
      <c r="AE8" s="38">
        <v>1073</v>
      </c>
      <c r="AF8" s="38">
        <v>16722</v>
      </c>
      <c r="AG8" s="38">
        <v>2420</v>
      </c>
      <c r="AH8" s="38">
        <v>2421</v>
      </c>
      <c r="AI8" s="38">
        <v>34</v>
      </c>
      <c r="AJ8" s="26">
        <v>5340043</v>
      </c>
      <c r="AK8" s="38">
        <v>5091</v>
      </c>
      <c r="AL8" s="38">
        <v>0</v>
      </c>
      <c r="AM8" s="38">
        <v>0</v>
      </c>
      <c r="AN8" s="38">
        <v>0</v>
      </c>
      <c r="AO8" s="38">
        <v>-183076</v>
      </c>
      <c r="AP8" s="38">
        <v>0</v>
      </c>
      <c r="AQ8" s="59">
        <v>164539</v>
      </c>
      <c r="AR8" s="27">
        <v>-13446</v>
      </c>
      <c r="AS8" s="26">
        <v>5326597</v>
      </c>
    </row>
    <row r="9" spans="1:45" ht="13.5" customHeight="1">
      <c r="A9" s="44" t="s">
        <v>46</v>
      </c>
      <c r="B9" s="15" t="s">
        <v>4</v>
      </c>
      <c r="C9" s="38">
        <v>13273857</v>
      </c>
      <c r="D9" s="38">
        <v>16188</v>
      </c>
      <c r="E9" s="38">
        <v>23135036</v>
      </c>
      <c r="F9" s="38">
        <v>86468</v>
      </c>
      <c r="G9" s="38">
        <v>67764</v>
      </c>
      <c r="H9" s="38">
        <v>-9926</v>
      </c>
      <c r="I9" s="38">
        <v>1348691</v>
      </c>
      <c r="J9" s="38">
        <v>32354</v>
      </c>
      <c r="K9" s="38">
        <v>78230</v>
      </c>
      <c r="L9" s="38">
        <v>106034</v>
      </c>
      <c r="M9" s="38">
        <v>28306</v>
      </c>
      <c r="N9" s="38">
        <v>23722</v>
      </c>
      <c r="O9" s="38">
        <v>80840</v>
      </c>
      <c r="P9" s="38">
        <v>-15144</v>
      </c>
      <c r="Q9" s="38">
        <v>10822</v>
      </c>
      <c r="R9" s="38">
        <v>631680</v>
      </c>
      <c r="S9" s="38">
        <v>1119295</v>
      </c>
      <c r="T9" s="38">
        <v>75594</v>
      </c>
      <c r="U9" s="38">
        <v>29879</v>
      </c>
      <c r="V9" s="38">
        <v>2111745</v>
      </c>
      <c r="W9" s="38">
        <v>233156</v>
      </c>
      <c r="X9" s="38">
        <v>53046845</v>
      </c>
      <c r="Y9" s="38">
        <v>319298</v>
      </c>
      <c r="Z9" s="38">
        <v>166213</v>
      </c>
      <c r="AA9" s="38">
        <v>20617</v>
      </c>
      <c r="AB9" s="38">
        <v>1583400</v>
      </c>
      <c r="AC9" s="38">
        <v>714859</v>
      </c>
      <c r="AD9" s="38">
        <v>1174868</v>
      </c>
      <c r="AE9" s="38">
        <v>3190626</v>
      </c>
      <c r="AF9" s="38">
        <v>2680305</v>
      </c>
      <c r="AG9" s="38">
        <v>2613864</v>
      </c>
      <c r="AH9" s="38">
        <v>1099434</v>
      </c>
      <c r="AI9" s="38">
        <v>54767</v>
      </c>
      <c r="AJ9" s="26">
        <v>109129687</v>
      </c>
      <c r="AK9" s="38">
        <v>60359679</v>
      </c>
      <c r="AL9" s="38">
        <v>0</v>
      </c>
      <c r="AM9" s="38">
        <v>0</v>
      </c>
      <c r="AN9" s="38">
        <v>0</v>
      </c>
      <c r="AO9" s="38">
        <v>-277115</v>
      </c>
      <c r="AP9" s="38">
        <v>0</v>
      </c>
      <c r="AQ9" s="59">
        <v>13182694</v>
      </c>
      <c r="AR9" s="27">
        <v>73265258</v>
      </c>
      <c r="AS9" s="26">
        <v>182394945</v>
      </c>
    </row>
    <row r="10" spans="1:45" ht="13.5" customHeight="1">
      <c r="A10" s="44" t="s">
        <v>47</v>
      </c>
      <c r="B10" s="15" t="s">
        <v>5</v>
      </c>
      <c r="C10" s="38">
        <v>516322</v>
      </c>
      <c r="D10" s="38">
        <v>18761</v>
      </c>
      <c r="E10" s="38">
        <v>131097</v>
      </c>
      <c r="F10" s="38">
        <v>9447326</v>
      </c>
      <c r="G10" s="38">
        <v>469462</v>
      </c>
      <c r="H10" s="38">
        <v>99962</v>
      </c>
      <c r="I10" s="38">
        <v>1070192</v>
      </c>
      <c r="J10" s="38">
        <v>150174</v>
      </c>
      <c r="K10" s="38">
        <v>178752</v>
      </c>
      <c r="L10" s="38">
        <v>379901</v>
      </c>
      <c r="M10" s="38">
        <v>265419</v>
      </c>
      <c r="N10" s="38">
        <v>115994</v>
      </c>
      <c r="O10" s="38">
        <v>119809</v>
      </c>
      <c r="P10" s="38">
        <v>974041</v>
      </c>
      <c r="Q10" s="38">
        <v>1411763</v>
      </c>
      <c r="R10" s="38">
        <v>2466981</v>
      </c>
      <c r="S10" s="38">
        <v>44126</v>
      </c>
      <c r="T10" s="38">
        <v>232446</v>
      </c>
      <c r="U10" s="38">
        <v>78593</v>
      </c>
      <c r="V10" s="38">
        <v>1255250</v>
      </c>
      <c r="W10" s="38">
        <v>1794103</v>
      </c>
      <c r="X10" s="38">
        <v>1548791</v>
      </c>
      <c r="Y10" s="38">
        <v>247453</v>
      </c>
      <c r="Z10" s="38">
        <v>100674</v>
      </c>
      <c r="AA10" s="38">
        <v>173734</v>
      </c>
      <c r="AB10" s="38">
        <v>479977</v>
      </c>
      <c r="AC10" s="38">
        <v>1119697</v>
      </c>
      <c r="AD10" s="38">
        <v>646005</v>
      </c>
      <c r="AE10" s="38">
        <v>211196</v>
      </c>
      <c r="AF10" s="38">
        <v>838527</v>
      </c>
      <c r="AG10" s="38">
        <v>538987</v>
      </c>
      <c r="AH10" s="38">
        <v>836162</v>
      </c>
      <c r="AI10" s="38">
        <v>17447</v>
      </c>
      <c r="AJ10" s="26">
        <v>27979124</v>
      </c>
      <c r="AK10" s="38">
        <v>22360056</v>
      </c>
      <c r="AL10" s="38">
        <v>0</v>
      </c>
      <c r="AM10" s="38">
        <v>59349</v>
      </c>
      <c r="AN10" s="38">
        <v>35246</v>
      </c>
      <c r="AO10" s="38">
        <v>93928</v>
      </c>
      <c r="AP10" s="38">
        <v>0</v>
      </c>
      <c r="AQ10" s="59">
        <v>19632443</v>
      </c>
      <c r="AR10" s="27">
        <v>42181022</v>
      </c>
      <c r="AS10" s="26">
        <v>70160146</v>
      </c>
    </row>
    <row r="11" spans="1:45" ht="13.5" customHeight="1">
      <c r="A11" s="44" t="s">
        <v>48</v>
      </c>
      <c r="B11" s="15" t="s">
        <v>6</v>
      </c>
      <c r="C11" s="38">
        <v>858139</v>
      </c>
      <c r="D11" s="38">
        <v>11121</v>
      </c>
      <c r="E11" s="38">
        <v>3523836</v>
      </c>
      <c r="F11" s="38">
        <v>218583</v>
      </c>
      <c r="G11" s="38">
        <v>12285532</v>
      </c>
      <c r="H11" s="38">
        <v>133424</v>
      </c>
      <c r="I11" s="38">
        <v>1854772</v>
      </c>
      <c r="J11" s="38">
        <v>387612</v>
      </c>
      <c r="K11" s="38">
        <v>234487</v>
      </c>
      <c r="L11" s="38">
        <v>982943</v>
      </c>
      <c r="M11" s="38">
        <v>146738</v>
      </c>
      <c r="N11" s="38">
        <v>483800</v>
      </c>
      <c r="O11" s="38">
        <v>332260</v>
      </c>
      <c r="P11" s="38">
        <v>97757</v>
      </c>
      <c r="Q11" s="38">
        <v>1409707</v>
      </c>
      <c r="R11" s="38">
        <v>394013</v>
      </c>
      <c r="S11" s="38">
        <v>426189</v>
      </c>
      <c r="T11" s="38">
        <v>-7693</v>
      </c>
      <c r="U11" s="38">
        <v>4986871</v>
      </c>
      <c r="V11" s="38">
        <v>4184658</v>
      </c>
      <c r="W11" s="38">
        <v>1378727</v>
      </c>
      <c r="X11" s="38">
        <v>1993336</v>
      </c>
      <c r="Y11" s="38">
        <v>1909900</v>
      </c>
      <c r="Z11" s="38">
        <v>1584659</v>
      </c>
      <c r="AA11" s="38">
        <v>226739</v>
      </c>
      <c r="AB11" s="38">
        <v>5025693</v>
      </c>
      <c r="AC11" s="38">
        <v>614390</v>
      </c>
      <c r="AD11" s="38">
        <v>845929</v>
      </c>
      <c r="AE11" s="38">
        <v>949913</v>
      </c>
      <c r="AF11" s="38">
        <v>1277891</v>
      </c>
      <c r="AG11" s="38">
        <v>268691</v>
      </c>
      <c r="AH11" s="38">
        <v>828469</v>
      </c>
      <c r="AI11" s="38">
        <v>9881</v>
      </c>
      <c r="AJ11" s="26">
        <v>49858967</v>
      </c>
      <c r="AK11" s="38">
        <v>1312519</v>
      </c>
      <c r="AL11" s="38">
        <v>0</v>
      </c>
      <c r="AM11" s="38">
        <v>0</v>
      </c>
      <c r="AN11" s="38">
        <v>0</v>
      </c>
      <c r="AO11" s="38">
        <v>212872</v>
      </c>
      <c r="AP11" s="38">
        <v>0</v>
      </c>
      <c r="AQ11" s="59">
        <v>4630328</v>
      </c>
      <c r="AR11" s="27">
        <v>6155719</v>
      </c>
      <c r="AS11" s="26">
        <v>56014686</v>
      </c>
    </row>
    <row r="12" spans="1:45" ht="13.5" customHeight="1">
      <c r="A12" s="44" t="s">
        <v>49</v>
      </c>
      <c r="B12" s="15" t="s">
        <v>7</v>
      </c>
      <c r="C12" s="38">
        <v>1515963</v>
      </c>
      <c r="D12" s="38">
        <v>125960</v>
      </c>
      <c r="E12" s="38">
        <v>326179</v>
      </c>
      <c r="F12" s="38">
        <v>113399</v>
      </c>
      <c r="G12" s="38">
        <v>238255</v>
      </c>
      <c r="H12" s="38">
        <v>4806990</v>
      </c>
      <c r="I12" s="38">
        <v>18548314</v>
      </c>
      <c r="J12" s="38">
        <v>2257768</v>
      </c>
      <c r="K12" s="38">
        <v>507483</v>
      </c>
      <c r="L12" s="38">
        <v>449612</v>
      </c>
      <c r="M12" s="38">
        <v>77093</v>
      </c>
      <c r="N12" s="38">
        <v>466380</v>
      </c>
      <c r="O12" s="38">
        <v>306892</v>
      </c>
      <c r="P12" s="38">
        <v>408695</v>
      </c>
      <c r="Q12" s="38">
        <v>43843</v>
      </c>
      <c r="R12" s="38">
        <v>704980</v>
      </c>
      <c r="S12" s="38">
        <v>2470064</v>
      </c>
      <c r="T12" s="38">
        <v>678652</v>
      </c>
      <c r="U12" s="38">
        <v>4666910</v>
      </c>
      <c r="V12" s="38">
        <v>8836925</v>
      </c>
      <c r="W12" s="38">
        <v>15957783</v>
      </c>
      <c r="X12" s="38">
        <v>2950721</v>
      </c>
      <c r="Y12" s="38">
        <v>393549</v>
      </c>
      <c r="Z12" s="38">
        <v>139762</v>
      </c>
      <c r="AA12" s="38">
        <v>912283</v>
      </c>
      <c r="AB12" s="38">
        <v>4192860</v>
      </c>
      <c r="AC12" s="38">
        <v>894255</v>
      </c>
      <c r="AD12" s="38">
        <v>3333481</v>
      </c>
      <c r="AE12" s="38">
        <v>2184484</v>
      </c>
      <c r="AF12" s="38">
        <v>1490227</v>
      </c>
      <c r="AG12" s="38">
        <v>341918</v>
      </c>
      <c r="AH12" s="38">
        <v>912218</v>
      </c>
      <c r="AI12" s="38">
        <v>22523</v>
      </c>
      <c r="AJ12" s="26">
        <v>81276421</v>
      </c>
      <c r="AK12" s="38">
        <v>17658256</v>
      </c>
      <c r="AL12" s="38">
        <v>0</v>
      </c>
      <c r="AM12" s="38">
        <v>0</v>
      </c>
      <c r="AN12" s="38">
        <v>0</v>
      </c>
      <c r="AO12" s="38">
        <v>562201</v>
      </c>
      <c r="AP12" s="38">
        <v>0</v>
      </c>
      <c r="AQ12" s="59">
        <v>77066088</v>
      </c>
      <c r="AR12" s="27">
        <v>95286545</v>
      </c>
      <c r="AS12" s="26">
        <v>176562966</v>
      </c>
    </row>
    <row r="13" spans="1:45" ht="13.5" customHeight="1">
      <c r="A13" s="44" t="s">
        <v>50</v>
      </c>
      <c r="B13" s="15" t="s">
        <v>8</v>
      </c>
      <c r="C13" s="38">
        <v>4512625</v>
      </c>
      <c r="D13" s="38">
        <v>217552</v>
      </c>
      <c r="E13" s="38">
        <v>4252098</v>
      </c>
      <c r="F13" s="38">
        <v>5435495</v>
      </c>
      <c r="G13" s="38">
        <v>3512893</v>
      </c>
      <c r="H13" s="38">
        <v>2835512</v>
      </c>
      <c r="I13" s="38">
        <v>75443180</v>
      </c>
      <c r="J13" s="38">
        <v>1751720</v>
      </c>
      <c r="K13" s="38">
        <v>1645885</v>
      </c>
      <c r="L13" s="38">
        <v>7862792</v>
      </c>
      <c r="M13" s="38">
        <v>9877901</v>
      </c>
      <c r="N13" s="38">
        <v>9617046</v>
      </c>
      <c r="O13" s="38">
        <v>5052662</v>
      </c>
      <c r="P13" s="38">
        <v>19593987</v>
      </c>
      <c r="Q13" s="38">
        <v>2527837</v>
      </c>
      <c r="R13" s="38">
        <v>1787594</v>
      </c>
      <c r="S13" s="38">
        <v>2384812</v>
      </c>
      <c r="T13" s="38">
        <v>1951558</v>
      </c>
      <c r="U13" s="38">
        <v>11851540</v>
      </c>
      <c r="V13" s="38">
        <v>4975392</v>
      </c>
      <c r="W13" s="38">
        <v>1360977</v>
      </c>
      <c r="X13" s="38">
        <v>4735376</v>
      </c>
      <c r="Y13" s="38">
        <v>764740</v>
      </c>
      <c r="Z13" s="38">
        <v>119632</v>
      </c>
      <c r="AA13" s="38">
        <v>277331</v>
      </c>
      <c r="AB13" s="38">
        <v>9346112</v>
      </c>
      <c r="AC13" s="38">
        <v>3833427</v>
      </c>
      <c r="AD13" s="38">
        <v>1605326</v>
      </c>
      <c r="AE13" s="38">
        <v>1246078</v>
      </c>
      <c r="AF13" s="38">
        <v>23440952</v>
      </c>
      <c r="AG13" s="38">
        <v>730492</v>
      </c>
      <c r="AH13" s="38">
        <v>3262973</v>
      </c>
      <c r="AI13" s="38">
        <v>31874</v>
      </c>
      <c r="AJ13" s="26">
        <v>227845371</v>
      </c>
      <c r="AK13" s="38">
        <v>7116563</v>
      </c>
      <c r="AL13" s="38">
        <v>0</v>
      </c>
      <c r="AM13" s="38">
        <v>0</v>
      </c>
      <c r="AN13" s="38">
        <v>0</v>
      </c>
      <c r="AO13" s="38">
        <v>1249036</v>
      </c>
      <c r="AP13" s="38">
        <v>0</v>
      </c>
      <c r="AQ13" s="59">
        <v>140415248</v>
      </c>
      <c r="AR13" s="27">
        <v>148780847</v>
      </c>
      <c r="AS13" s="26">
        <v>376626218</v>
      </c>
    </row>
    <row r="14" spans="1:45" ht="13.5" customHeight="1">
      <c r="A14" s="44" t="s">
        <v>51</v>
      </c>
      <c r="B14" s="15" t="s">
        <v>9</v>
      </c>
      <c r="C14" s="38">
        <v>36349</v>
      </c>
      <c r="D14" s="38">
        <v>8909</v>
      </c>
      <c r="E14" s="38">
        <v>866923</v>
      </c>
      <c r="F14" s="38">
        <v>29958</v>
      </c>
      <c r="G14" s="38">
        <v>57935</v>
      </c>
      <c r="H14" s="38">
        <v>128152</v>
      </c>
      <c r="I14" s="38">
        <v>1034800</v>
      </c>
      <c r="J14" s="38">
        <v>6026519</v>
      </c>
      <c r="K14" s="38">
        <v>2828197</v>
      </c>
      <c r="L14" s="38">
        <v>509833</v>
      </c>
      <c r="M14" s="38">
        <v>1263686</v>
      </c>
      <c r="N14" s="38">
        <v>892908</v>
      </c>
      <c r="O14" s="38">
        <v>355287</v>
      </c>
      <c r="P14" s="38">
        <v>1724611</v>
      </c>
      <c r="Q14" s="38">
        <v>192607</v>
      </c>
      <c r="R14" s="38">
        <v>133976</v>
      </c>
      <c r="S14" s="38">
        <v>-162362</v>
      </c>
      <c r="T14" s="38">
        <v>186331</v>
      </c>
      <c r="U14" s="38">
        <v>27727818</v>
      </c>
      <c r="V14" s="38">
        <v>107592</v>
      </c>
      <c r="W14" s="38">
        <v>75336</v>
      </c>
      <c r="X14" s="38">
        <v>661954</v>
      </c>
      <c r="Y14" s="38">
        <v>13649</v>
      </c>
      <c r="Z14" s="38">
        <v>3732</v>
      </c>
      <c r="AA14" s="38">
        <v>84142</v>
      </c>
      <c r="AB14" s="38">
        <v>222048</v>
      </c>
      <c r="AC14" s="38">
        <v>226104</v>
      </c>
      <c r="AD14" s="38">
        <v>330613</v>
      </c>
      <c r="AE14" s="38">
        <v>141809</v>
      </c>
      <c r="AF14" s="38">
        <v>66266</v>
      </c>
      <c r="AG14" s="38">
        <v>141714</v>
      </c>
      <c r="AH14" s="38">
        <v>34688</v>
      </c>
      <c r="AI14" s="38">
        <v>4568</v>
      </c>
      <c r="AJ14" s="26">
        <v>45956652</v>
      </c>
      <c r="AK14" s="38">
        <v>-69359</v>
      </c>
      <c r="AL14" s="38">
        <v>0</v>
      </c>
      <c r="AM14" s="38">
        <v>0</v>
      </c>
      <c r="AN14" s="38">
        <v>0</v>
      </c>
      <c r="AO14" s="38">
        <v>158903</v>
      </c>
      <c r="AP14" s="38">
        <v>0</v>
      </c>
      <c r="AQ14" s="59">
        <v>4781328</v>
      </c>
      <c r="AR14" s="27">
        <v>4870872</v>
      </c>
      <c r="AS14" s="26">
        <v>50827524</v>
      </c>
    </row>
    <row r="15" spans="1:45" ht="13.5" customHeight="1">
      <c r="A15" s="44" t="s">
        <v>52</v>
      </c>
      <c r="B15" s="15" t="s">
        <v>10</v>
      </c>
      <c r="C15" s="38">
        <v>90703</v>
      </c>
      <c r="D15" s="38">
        <v>8189</v>
      </c>
      <c r="E15" s="38">
        <v>26239</v>
      </c>
      <c r="F15" s="38">
        <v>-2016</v>
      </c>
      <c r="G15" s="38">
        <v>45297</v>
      </c>
      <c r="H15" s="38">
        <v>548043</v>
      </c>
      <c r="I15" s="38">
        <v>1432937</v>
      </c>
      <c r="J15" s="38">
        <v>880571</v>
      </c>
      <c r="K15" s="38">
        <v>33775453</v>
      </c>
      <c r="L15" s="38">
        <v>21994525</v>
      </c>
      <c r="M15" s="38">
        <v>4000083</v>
      </c>
      <c r="N15" s="38">
        <v>13934318</v>
      </c>
      <c r="O15" s="38">
        <v>11988557</v>
      </c>
      <c r="P15" s="38">
        <v>20302556</v>
      </c>
      <c r="Q15" s="38">
        <v>1504746</v>
      </c>
      <c r="R15" s="38">
        <v>987215</v>
      </c>
      <c r="S15" s="38">
        <v>378889</v>
      </c>
      <c r="T15" s="38">
        <v>162585</v>
      </c>
      <c r="U15" s="38">
        <v>23535608</v>
      </c>
      <c r="V15" s="38">
        <v>-724</v>
      </c>
      <c r="W15" s="38">
        <v>14347</v>
      </c>
      <c r="X15" s="38">
        <v>27276</v>
      </c>
      <c r="Y15" s="38">
        <v>-21236</v>
      </c>
      <c r="Z15" s="38">
        <v>-69</v>
      </c>
      <c r="AA15" s="38">
        <v>-536</v>
      </c>
      <c r="AB15" s="38">
        <v>379025</v>
      </c>
      <c r="AC15" s="38">
        <v>973</v>
      </c>
      <c r="AD15" s="38">
        <v>3089</v>
      </c>
      <c r="AE15" s="38">
        <v>-19677</v>
      </c>
      <c r="AF15" s="38">
        <v>173780</v>
      </c>
      <c r="AG15" s="38">
        <v>-4842</v>
      </c>
      <c r="AH15" s="38">
        <v>-30110</v>
      </c>
      <c r="AI15" s="38">
        <v>9136</v>
      </c>
      <c r="AJ15" s="26">
        <v>136124930</v>
      </c>
      <c r="AK15" s="38">
        <v>-741899</v>
      </c>
      <c r="AL15" s="38">
        <v>0</v>
      </c>
      <c r="AM15" s="38">
        <v>-3134918</v>
      </c>
      <c r="AN15" s="38">
        <v>-83309</v>
      </c>
      <c r="AO15" s="38">
        <v>315441</v>
      </c>
      <c r="AP15" s="38">
        <v>130731</v>
      </c>
      <c r="AQ15" s="59">
        <v>59288136</v>
      </c>
      <c r="AR15" s="27">
        <v>55774182</v>
      </c>
      <c r="AS15" s="26">
        <v>191899112</v>
      </c>
    </row>
    <row r="16" spans="1:45" ht="13.5" customHeight="1">
      <c r="A16" s="44" t="s">
        <v>53</v>
      </c>
      <c r="B16" s="15" t="s">
        <v>54</v>
      </c>
      <c r="C16" s="38">
        <v>76325</v>
      </c>
      <c r="D16" s="38">
        <v>112396</v>
      </c>
      <c r="E16" s="38">
        <v>2217143</v>
      </c>
      <c r="F16" s="38">
        <v>116512</v>
      </c>
      <c r="G16" s="38">
        <v>594802</v>
      </c>
      <c r="H16" s="38">
        <v>2872386</v>
      </c>
      <c r="I16" s="38">
        <v>2326406</v>
      </c>
      <c r="J16" s="38">
        <v>586542</v>
      </c>
      <c r="K16" s="38">
        <v>1481015</v>
      </c>
      <c r="L16" s="38">
        <v>18262217</v>
      </c>
      <c r="M16" s="38">
        <v>2003649</v>
      </c>
      <c r="N16" s="38">
        <v>4926314</v>
      </c>
      <c r="O16" s="38">
        <v>18984223</v>
      </c>
      <c r="P16" s="38">
        <v>17019521</v>
      </c>
      <c r="Q16" s="38">
        <v>1327694</v>
      </c>
      <c r="R16" s="38">
        <v>1130999</v>
      </c>
      <c r="S16" s="38">
        <v>798877</v>
      </c>
      <c r="T16" s="38">
        <v>546209</v>
      </c>
      <c r="U16" s="38">
        <v>24860415</v>
      </c>
      <c r="V16" s="38">
        <v>1065414</v>
      </c>
      <c r="W16" s="38">
        <v>731302</v>
      </c>
      <c r="X16" s="38">
        <v>1521590</v>
      </c>
      <c r="Y16" s="38">
        <v>248683</v>
      </c>
      <c r="Z16" s="38">
        <v>136263</v>
      </c>
      <c r="AA16" s="38">
        <v>198705</v>
      </c>
      <c r="AB16" s="38">
        <v>1106438</v>
      </c>
      <c r="AC16" s="38">
        <v>1089230</v>
      </c>
      <c r="AD16" s="38">
        <v>1582371</v>
      </c>
      <c r="AE16" s="38">
        <v>465853</v>
      </c>
      <c r="AF16" s="38">
        <v>353499</v>
      </c>
      <c r="AG16" s="38">
        <v>253202</v>
      </c>
      <c r="AH16" s="38">
        <v>928169</v>
      </c>
      <c r="AI16" s="38">
        <v>15794</v>
      </c>
      <c r="AJ16" s="26">
        <v>109940158</v>
      </c>
      <c r="AK16" s="38">
        <v>934850</v>
      </c>
      <c r="AL16" s="38">
        <v>0</v>
      </c>
      <c r="AM16" s="38">
        <v>6305296</v>
      </c>
      <c r="AN16" s="38">
        <v>1591651</v>
      </c>
      <c r="AO16" s="38">
        <v>150298</v>
      </c>
      <c r="AP16" s="38">
        <v>0</v>
      </c>
      <c r="AQ16" s="59">
        <v>17376557</v>
      </c>
      <c r="AR16" s="27">
        <v>26358652</v>
      </c>
      <c r="AS16" s="26">
        <v>136298810</v>
      </c>
    </row>
    <row r="17" spans="1:45" ht="13.5" customHeight="1">
      <c r="A17" s="44" t="s">
        <v>55</v>
      </c>
      <c r="B17" s="15" t="s">
        <v>56</v>
      </c>
      <c r="C17" s="38">
        <v>180911</v>
      </c>
      <c r="D17" s="38">
        <v>13295</v>
      </c>
      <c r="E17" s="38">
        <v>178895</v>
      </c>
      <c r="F17" s="38">
        <v>40877</v>
      </c>
      <c r="G17" s="38">
        <v>222265</v>
      </c>
      <c r="H17" s="38">
        <v>811975</v>
      </c>
      <c r="I17" s="38">
        <v>622431</v>
      </c>
      <c r="J17" s="38">
        <v>87363</v>
      </c>
      <c r="K17" s="38">
        <v>457287</v>
      </c>
      <c r="L17" s="38">
        <v>1098790</v>
      </c>
      <c r="M17" s="38">
        <v>45724364</v>
      </c>
      <c r="N17" s="38">
        <v>8383439</v>
      </c>
      <c r="O17" s="38">
        <v>6399034</v>
      </c>
      <c r="P17" s="38">
        <v>6259350</v>
      </c>
      <c r="Q17" s="38">
        <v>137883</v>
      </c>
      <c r="R17" s="38">
        <v>2199819</v>
      </c>
      <c r="S17" s="38">
        <v>1052620</v>
      </c>
      <c r="T17" s="38">
        <v>442428</v>
      </c>
      <c r="U17" s="38">
        <v>897027</v>
      </c>
      <c r="V17" s="38">
        <v>2969353</v>
      </c>
      <c r="W17" s="38">
        <v>690604</v>
      </c>
      <c r="X17" s="38">
        <v>1505383</v>
      </c>
      <c r="Y17" s="38">
        <v>5684154</v>
      </c>
      <c r="Z17" s="38">
        <v>482548</v>
      </c>
      <c r="AA17" s="38">
        <v>606278</v>
      </c>
      <c r="AB17" s="38">
        <v>10579547</v>
      </c>
      <c r="AC17" s="38">
        <v>1523318</v>
      </c>
      <c r="AD17" s="38">
        <v>737465</v>
      </c>
      <c r="AE17" s="38">
        <v>1472022</v>
      </c>
      <c r="AF17" s="38">
        <v>1885952</v>
      </c>
      <c r="AG17" s="38">
        <v>498559</v>
      </c>
      <c r="AH17" s="38">
        <v>2190231</v>
      </c>
      <c r="AI17" s="38">
        <v>51754</v>
      </c>
      <c r="AJ17" s="26">
        <v>106087221</v>
      </c>
      <c r="AK17" s="38">
        <v>9881605</v>
      </c>
      <c r="AL17" s="38">
        <v>0</v>
      </c>
      <c r="AM17" s="38">
        <v>11175254</v>
      </c>
      <c r="AN17" s="38">
        <v>1544810</v>
      </c>
      <c r="AO17" s="38">
        <v>370986</v>
      </c>
      <c r="AP17" s="38">
        <v>0</v>
      </c>
      <c r="AQ17" s="59">
        <v>190751858</v>
      </c>
      <c r="AR17" s="27">
        <v>213724513</v>
      </c>
      <c r="AS17" s="26">
        <v>319811734</v>
      </c>
    </row>
    <row r="18" spans="1:45" ht="13.5" customHeight="1">
      <c r="A18" s="44" t="s">
        <v>57</v>
      </c>
      <c r="B18" s="15" t="s">
        <v>58</v>
      </c>
      <c r="C18" s="38">
        <v>126894</v>
      </c>
      <c r="D18" s="38">
        <v>94331</v>
      </c>
      <c r="E18" s="38">
        <v>133844</v>
      </c>
      <c r="F18" s="38">
        <v>64432</v>
      </c>
      <c r="G18" s="38">
        <v>205877</v>
      </c>
      <c r="H18" s="38">
        <v>468574</v>
      </c>
      <c r="I18" s="38">
        <v>472007</v>
      </c>
      <c r="J18" s="38">
        <v>328846</v>
      </c>
      <c r="K18" s="38">
        <v>471847</v>
      </c>
      <c r="L18" s="38">
        <v>1306810</v>
      </c>
      <c r="M18" s="38">
        <v>4221884</v>
      </c>
      <c r="N18" s="38">
        <v>27157868</v>
      </c>
      <c r="O18" s="38">
        <v>6662401</v>
      </c>
      <c r="P18" s="38">
        <v>19239436</v>
      </c>
      <c r="Q18" s="38">
        <v>298727</v>
      </c>
      <c r="R18" s="38">
        <v>1877102</v>
      </c>
      <c r="S18" s="38">
        <v>1705618</v>
      </c>
      <c r="T18" s="38">
        <v>971834</v>
      </c>
      <c r="U18" s="38">
        <v>13810541</v>
      </c>
      <c r="V18" s="38">
        <v>1878632</v>
      </c>
      <c r="W18" s="38">
        <v>2847236</v>
      </c>
      <c r="X18" s="38">
        <v>2514865</v>
      </c>
      <c r="Y18" s="38">
        <v>3111831</v>
      </c>
      <c r="Z18" s="38">
        <v>368380</v>
      </c>
      <c r="AA18" s="38">
        <v>846340</v>
      </c>
      <c r="AB18" s="38">
        <v>7997559</v>
      </c>
      <c r="AC18" s="38">
        <v>2423434</v>
      </c>
      <c r="AD18" s="38">
        <v>894011</v>
      </c>
      <c r="AE18" s="38">
        <v>777977</v>
      </c>
      <c r="AF18" s="38">
        <v>567661</v>
      </c>
      <c r="AG18" s="38">
        <v>450395</v>
      </c>
      <c r="AH18" s="38">
        <v>2598091</v>
      </c>
      <c r="AI18" s="38">
        <v>11785</v>
      </c>
      <c r="AJ18" s="26">
        <v>106907070</v>
      </c>
      <c r="AK18" s="38">
        <v>7237201</v>
      </c>
      <c r="AL18" s="38">
        <v>0</v>
      </c>
      <c r="AM18" s="38">
        <v>11864629</v>
      </c>
      <c r="AN18" s="38">
        <v>215296</v>
      </c>
      <c r="AO18" s="38">
        <v>-275785</v>
      </c>
      <c r="AP18" s="38">
        <v>0</v>
      </c>
      <c r="AQ18" s="59">
        <v>46805096</v>
      </c>
      <c r="AR18" s="27">
        <v>65846437</v>
      </c>
      <c r="AS18" s="26">
        <v>172753507</v>
      </c>
    </row>
    <row r="19" spans="1:45" ht="13.5" customHeight="1">
      <c r="A19" s="44" t="s">
        <v>59</v>
      </c>
      <c r="B19" s="15" t="s">
        <v>11</v>
      </c>
      <c r="C19" s="38">
        <v>119964</v>
      </c>
      <c r="D19" s="38">
        <v>117837</v>
      </c>
      <c r="E19" s="38">
        <v>334866</v>
      </c>
      <c r="F19" s="38">
        <v>19723</v>
      </c>
      <c r="G19" s="38">
        <v>88919</v>
      </c>
      <c r="H19" s="38">
        <v>1317287</v>
      </c>
      <c r="I19" s="38">
        <v>538235</v>
      </c>
      <c r="J19" s="38">
        <v>144064</v>
      </c>
      <c r="K19" s="38">
        <v>569309</v>
      </c>
      <c r="L19" s="38">
        <v>2060178</v>
      </c>
      <c r="M19" s="38">
        <v>1167153</v>
      </c>
      <c r="N19" s="38">
        <v>972387</v>
      </c>
      <c r="O19" s="38">
        <v>22182412</v>
      </c>
      <c r="P19" s="38">
        <v>5969212</v>
      </c>
      <c r="Q19" s="38">
        <v>51273</v>
      </c>
      <c r="R19" s="38">
        <v>979601</v>
      </c>
      <c r="S19" s="38">
        <v>859710</v>
      </c>
      <c r="T19" s="38">
        <v>1136465</v>
      </c>
      <c r="U19" s="38">
        <v>9600020</v>
      </c>
      <c r="V19" s="38">
        <v>542204</v>
      </c>
      <c r="W19" s="38">
        <v>548706</v>
      </c>
      <c r="X19" s="38">
        <v>369172</v>
      </c>
      <c r="Y19" s="38">
        <v>111131</v>
      </c>
      <c r="Z19" s="38">
        <v>34598</v>
      </c>
      <c r="AA19" s="38">
        <v>332187</v>
      </c>
      <c r="AB19" s="38">
        <v>1080369</v>
      </c>
      <c r="AC19" s="38">
        <v>352393</v>
      </c>
      <c r="AD19" s="38">
        <v>461943</v>
      </c>
      <c r="AE19" s="38">
        <v>365514</v>
      </c>
      <c r="AF19" s="38">
        <v>237250</v>
      </c>
      <c r="AG19" s="38">
        <v>150326</v>
      </c>
      <c r="AH19" s="38">
        <v>117885</v>
      </c>
      <c r="AI19" s="38">
        <v>6506</v>
      </c>
      <c r="AJ19" s="26">
        <v>52938799</v>
      </c>
      <c r="AK19" s="38">
        <v>1869663</v>
      </c>
      <c r="AL19" s="38">
        <v>0</v>
      </c>
      <c r="AM19" s="38">
        <v>58927322</v>
      </c>
      <c r="AN19" s="38">
        <v>870711</v>
      </c>
      <c r="AO19" s="38">
        <v>141332</v>
      </c>
      <c r="AP19" s="38">
        <v>0</v>
      </c>
      <c r="AQ19" s="59">
        <v>70735546</v>
      </c>
      <c r="AR19" s="27">
        <v>132544574</v>
      </c>
      <c r="AS19" s="26">
        <v>185483373</v>
      </c>
    </row>
    <row r="20" spans="1:45" ht="13.5" customHeight="1">
      <c r="A20" s="44" t="s">
        <v>60</v>
      </c>
      <c r="B20" s="15" t="s">
        <v>12</v>
      </c>
      <c r="C20" s="38">
        <v>213847</v>
      </c>
      <c r="D20" s="38">
        <v>171711</v>
      </c>
      <c r="E20" s="38">
        <v>36186</v>
      </c>
      <c r="F20" s="38">
        <v>12701</v>
      </c>
      <c r="G20" s="38">
        <v>88374</v>
      </c>
      <c r="H20" s="38">
        <v>261261</v>
      </c>
      <c r="I20" s="38">
        <v>279295</v>
      </c>
      <c r="J20" s="38">
        <v>197536</v>
      </c>
      <c r="K20" s="38">
        <v>166976</v>
      </c>
      <c r="L20" s="38">
        <v>258546</v>
      </c>
      <c r="M20" s="38">
        <v>9060</v>
      </c>
      <c r="N20" s="38">
        <v>56746</v>
      </c>
      <c r="O20" s="38">
        <v>607062</v>
      </c>
      <c r="P20" s="38">
        <v>85941288</v>
      </c>
      <c r="Q20" s="38">
        <v>18199</v>
      </c>
      <c r="R20" s="38">
        <v>3596007</v>
      </c>
      <c r="S20" s="38">
        <v>152955</v>
      </c>
      <c r="T20" s="38">
        <v>574827</v>
      </c>
      <c r="U20" s="38">
        <v>36994</v>
      </c>
      <c r="V20" s="38">
        <v>676094</v>
      </c>
      <c r="W20" s="38">
        <v>5802816</v>
      </c>
      <c r="X20" s="38">
        <v>176677</v>
      </c>
      <c r="Y20" s="38">
        <v>148680</v>
      </c>
      <c r="Z20" s="38">
        <v>22514</v>
      </c>
      <c r="AA20" s="38">
        <v>43065</v>
      </c>
      <c r="AB20" s="38">
        <v>3443469</v>
      </c>
      <c r="AC20" s="38">
        <v>870272</v>
      </c>
      <c r="AD20" s="38">
        <v>3044780</v>
      </c>
      <c r="AE20" s="38">
        <v>164850</v>
      </c>
      <c r="AF20" s="38">
        <v>225145</v>
      </c>
      <c r="AG20" s="38">
        <v>107934</v>
      </c>
      <c r="AH20" s="38">
        <v>7383428</v>
      </c>
      <c r="AI20" s="38">
        <v>7888</v>
      </c>
      <c r="AJ20" s="26">
        <v>114797183</v>
      </c>
      <c r="AK20" s="38">
        <v>27191743</v>
      </c>
      <c r="AL20" s="38">
        <v>0</v>
      </c>
      <c r="AM20" s="38">
        <v>27262017</v>
      </c>
      <c r="AN20" s="38">
        <v>7744150</v>
      </c>
      <c r="AO20" s="38">
        <v>2783078</v>
      </c>
      <c r="AP20" s="38">
        <v>0</v>
      </c>
      <c r="AQ20" s="59">
        <v>157357500</v>
      </c>
      <c r="AR20" s="27">
        <v>222338488</v>
      </c>
      <c r="AS20" s="26">
        <v>337135671</v>
      </c>
    </row>
    <row r="21" spans="1:45" ht="13.5" customHeight="1">
      <c r="A21" s="44" t="s">
        <v>61</v>
      </c>
      <c r="B21" s="15" t="s">
        <v>62</v>
      </c>
      <c r="C21" s="38">
        <v>12883</v>
      </c>
      <c r="D21" s="38">
        <v>4340</v>
      </c>
      <c r="E21" s="38">
        <v>261942</v>
      </c>
      <c r="F21" s="38">
        <v>84822</v>
      </c>
      <c r="G21" s="38">
        <v>46782</v>
      </c>
      <c r="H21" s="38">
        <v>19103</v>
      </c>
      <c r="I21" s="38">
        <v>46088</v>
      </c>
      <c r="J21" s="38">
        <v>9357</v>
      </c>
      <c r="K21" s="38">
        <v>32048</v>
      </c>
      <c r="L21" s="38">
        <v>123981</v>
      </c>
      <c r="M21" s="38">
        <v>34360</v>
      </c>
      <c r="N21" s="38">
        <v>34542</v>
      </c>
      <c r="O21" s="38">
        <v>58462</v>
      </c>
      <c r="P21" s="38">
        <v>16222</v>
      </c>
      <c r="Q21" s="38">
        <v>706299</v>
      </c>
      <c r="R21" s="38">
        <v>182143</v>
      </c>
      <c r="S21" s="38">
        <v>14456</v>
      </c>
      <c r="T21" s="38">
        <v>181944</v>
      </c>
      <c r="U21" s="38">
        <v>2335576</v>
      </c>
      <c r="V21" s="38">
        <v>865732</v>
      </c>
      <c r="W21" s="38">
        <v>190609</v>
      </c>
      <c r="X21" s="38">
        <v>2667750</v>
      </c>
      <c r="Y21" s="38">
        <v>438488</v>
      </c>
      <c r="Z21" s="38">
        <v>202496</v>
      </c>
      <c r="AA21" s="38">
        <v>982041</v>
      </c>
      <c r="AB21" s="38">
        <v>1903679</v>
      </c>
      <c r="AC21" s="38">
        <v>917460</v>
      </c>
      <c r="AD21" s="38">
        <v>580478</v>
      </c>
      <c r="AE21" s="38">
        <v>2190498</v>
      </c>
      <c r="AF21" s="38">
        <v>745185</v>
      </c>
      <c r="AG21" s="38">
        <v>981464</v>
      </c>
      <c r="AH21" s="38">
        <v>787810</v>
      </c>
      <c r="AI21" s="38">
        <v>11875</v>
      </c>
      <c r="AJ21" s="26">
        <v>17670915</v>
      </c>
      <c r="AK21" s="38">
        <v>4280986</v>
      </c>
      <c r="AL21" s="38">
        <v>0</v>
      </c>
      <c r="AM21" s="38">
        <v>3116566</v>
      </c>
      <c r="AN21" s="38">
        <v>132525</v>
      </c>
      <c r="AO21" s="38">
        <v>72229</v>
      </c>
      <c r="AP21" s="38">
        <v>675049</v>
      </c>
      <c r="AQ21" s="59">
        <v>2994999</v>
      </c>
      <c r="AR21" s="27">
        <v>11272354</v>
      </c>
      <c r="AS21" s="26">
        <v>28943269</v>
      </c>
    </row>
    <row r="22" spans="1:45" ht="13.5" customHeight="1">
      <c r="A22" s="44" t="s">
        <v>63</v>
      </c>
      <c r="B22" s="15" t="s">
        <v>64</v>
      </c>
      <c r="C22" s="38">
        <v>242070</v>
      </c>
      <c r="D22" s="38">
        <v>152155</v>
      </c>
      <c r="E22" s="38">
        <v>5468124</v>
      </c>
      <c r="F22" s="38">
        <v>4548177</v>
      </c>
      <c r="G22" s="38">
        <v>1783760</v>
      </c>
      <c r="H22" s="38">
        <v>435565</v>
      </c>
      <c r="I22" s="38">
        <v>8923543</v>
      </c>
      <c r="J22" s="38">
        <v>1365058</v>
      </c>
      <c r="K22" s="38">
        <v>4087957</v>
      </c>
      <c r="L22" s="38">
        <v>5725936</v>
      </c>
      <c r="M22" s="38">
        <v>15515210</v>
      </c>
      <c r="N22" s="38">
        <v>4717672</v>
      </c>
      <c r="O22" s="38">
        <v>11881659</v>
      </c>
      <c r="P22" s="38">
        <v>8294914</v>
      </c>
      <c r="Q22" s="38">
        <v>1871498</v>
      </c>
      <c r="R22" s="38">
        <v>12334112</v>
      </c>
      <c r="S22" s="38">
        <v>411980</v>
      </c>
      <c r="T22" s="38">
        <v>403424</v>
      </c>
      <c r="U22" s="38">
        <v>190115</v>
      </c>
      <c r="V22" s="38">
        <v>524872</v>
      </c>
      <c r="W22" s="38">
        <v>87915</v>
      </c>
      <c r="X22" s="38">
        <v>119377</v>
      </c>
      <c r="Y22" s="38">
        <v>257459</v>
      </c>
      <c r="Z22" s="38">
        <v>52047</v>
      </c>
      <c r="AA22" s="38">
        <v>76140</v>
      </c>
      <c r="AB22" s="38">
        <v>312264</v>
      </c>
      <c r="AC22" s="38">
        <v>1017368</v>
      </c>
      <c r="AD22" s="38">
        <v>230979</v>
      </c>
      <c r="AE22" s="38">
        <v>285366</v>
      </c>
      <c r="AF22" s="38">
        <v>1116365</v>
      </c>
      <c r="AG22" s="38">
        <v>128510</v>
      </c>
      <c r="AH22" s="38">
        <v>55174</v>
      </c>
      <c r="AI22" s="38">
        <v>1492</v>
      </c>
      <c r="AJ22" s="26">
        <v>92618257</v>
      </c>
      <c r="AK22" s="38">
        <v>28773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59">
        <v>4155270</v>
      </c>
      <c r="AR22" s="27">
        <v>4184043</v>
      </c>
      <c r="AS22" s="26">
        <v>96802300</v>
      </c>
    </row>
    <row r="23" spans="1:45" ht="13.5" customHeight="1">
      <c r="A23" s="44" t="s">
        <v>65</v>
      </c>
      <c r="B23" s="15" t="s">
        <v>13</v>
      </c>
      <c r="C23" s="38">
        <v>1767890</v>
      </c>
      <c r="D23" s="38">
        <v>309519</v>
      </c>
      <c r="E23" s="38">
        <v>3418319</v>
      </c>
      <c r="F23" s="38">
        <v>1482483</v>
      </c>
      <c r="G23" s="38">
        <v>2587936</v>
      </c>
      <c r="H23" s="38">
        <v>4697485</v>
      </c>
      <c r="I23" s="38">
        <v>13644014</v>
      </c>
      <c r="J23" s="38">
        <v>2510456</v>
      </c>
      <c r="K23" s="38">
        <v>13713215</v>
      </c>
      <c r="L23" s="38">
        <v>1874656</v>
      </c>
      <c r="M23" s="38">
        <v>10769050</v>
      </c>
      <c r="N23" s="38">
        <v>1764943</v>
      </c>
      <c r="O23" s="38">
        <v>2141547</v>
      </c>
      <c r="P23" s="38">
        <v>4949973</v>
      </c>
      <c r="Q23" s="38">
        <v>197777</v>
      </c>
      <c r="R23" s="38">
        <v>810328</v>
      </c>
      <c r="S23" s="38">
        <v>25782760</v>
      </c>
      <c r="T23" s="38">
        <v>909490</v>
      </c>
      <c r="U23" s="38">
        <v>748789</v>
      </c>
      <c r="V23" s="38">
        <v>3749233</v>
      </c>
      <c r="W23" s="38">
        <v>3699416</v>
      </c>
      <c r="X23" s="38">
        <v>1395457</v>
      </c>
      <c r="Y23" s="38">
        <v>1207123</v>
      </c>
      <c r="Z23" s="38">
        <v>1004496</v>
      </c>
      <c r="AA23" s="38">
        <v>2119621</v>
      </c>
      <c r="AB23" s="38">
        <v>6920859</v>
      </c>
      <c r="AC23" s="38">
        <v>477469</v>
      </c>
      <c r="AD23" s="38">
        <v>972317</v>
      </c>
      <c r="AE23" s="38">
        <v>3465832</v>
      </c>
      <c r="AF23" s="38">
        <v>1954483</v>
      </c>
      <c r="AG23" s="38">
        <v>920769</v>
      </c>
      <c r="AH23" s="38">
        <v>777356</v>
      </c>
      <c r="AI23" s="38">
        <v>2523</v>
      </c>
      <c r="AJ23" s="26">
        <v>122747584</v>
      </c>
      <c r="AK23" s="38">
        <v>28767710</v>
      </c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59">
        <v>163506</v>
      </c>
      <c r="AR23" s="27">
        <v>28931216</v>
      </c>
      <c r="AS23" s="26">
        <v>151678800</v>
      </c>
    </row>
    <row r="24" spans="1:45" ht="13.5" customHeight="1">
      <c r="A24" s="44" t="s">
        <v>66</v>
      </c>
      <c r="B24" s="15" t="s">
        <v>67</v>
      </c>
      <c r="C24" s="38">
        <v>88754</v>
      </c>
      <c r="D24" s="38">
        <v>14541</v>
      </c>
      <c r="E24" s="38">
        <v>824440</v>
      </c>
      <c r="F24" s="38">
        <v>385219</v>
      </c>
      <c r="G24" s="38">
        <v>574971</v>
      </c>
      <c r="H24" s="38">
        <v>129968</v>
      </c>
      <c r="I24" s="38">
        <v>4912936</v>
      </c>
      <c r="J24" s="38">
        <v>637377</v>
      </c>
      <c r="K24" s="38">
        <v>5185320</v>
      </c>
      <c r="L24" s="38">
        <v>902901</v>
      </c>
      <c r="M24" s="38">
        <v>234104</v>
      </c>
      <c r="N24" s="38">
        <v>280883</v>
      </c>
      <c r="O24" s="38">
        <v>741747</v>
      </c>
      <c r="P24" s="38">
        <v>458995</v>
      </c>
      <c r="Q24" s="38">
        <v>55026</v>
      </c>
      <c r="R24" s="38">
        <v>254955</v>
      </c>
      <c r="S24" s="38">
        <v>331275</v>
      </c>
      <c r="T24" s="38">
        <v>2230994</v>
      </c>
      <c r="U24" s="38">
        <v>340917</v>
      </c>
      <c r="V24" s="38">
        <v>163206</v>
      </c>
      <c r="W24" s="38">
        <v>461718</v>
      </c>
      <c r="X24" s="38">
        <v>2857442</v>
      </c>
      <c r="Y24" s="38">
        <v>358863</v>
      </c>
      <c r="Z24" s="38">
        <v>300729</v>
      </c>
      <c r="AA24" s="38">
        <v>2562049</v>
      </c>
      <c r="AB24" s="38">
        <v>1004062</v>
      </c>
      <c r="AC24" s="38">
        <v>451563</v>
      </c>
      <c r="AD24" s="38">
        <v>1001929</v>
      </c>
      <c r="AE24" s="38">
        <v>1376636</v>
      </c>
      <c r="AF24" s="38">
        <v>1962096</v>
      </c>
      <c r="AG24" s="38">
        <v>419661</v>
      </c>
      <c r="AH24" s="38">
        <v>625464</v>
      </c>
      <c r="AI24" s="38">
        <v>8234</v>
      </c>
      <c r="AJ24" s="26">
        <v>32138975</v>
      </c>
      <c r="AK24" s="38">
        <v>5580215</v>
      </c>
      <c r="AL24" s="38">
        <v>3376692</v>
      </c>
      <c r="AM24" s="38">
        <v>0</v>
      </c>
      <c r="AN24" s="38">
        <v>0</v>
      </c>
      <c r="AO24" s="38">
        <v>0</v>
      </c>
      <c r="AP24" s="38">
        <v>0</v>
      </c>
      <c r="AQ24" s="59">
        <v>703138</v>
      </c>
      <c r="AR24" s="27">
        <v>9660045</v>
      </c>
      <c r="AS24" s="26">
        <v>41799020</v>
      </c>
    </row>
    <row r="25" spans="1:45" ht="13.5" customHeight="1">
      <c r="A25" s="44" t="s">
        <v>68</v>
      </c>
      <c r="B25" s="15" t="s">
        <v>14</v>
      </c>
      <c r="C25" s="38">
        <v>88514</v>
      </c>
      <c r="D25" s="38">
        <v>32490</v>
      </c>
      <c r="E25" s="38">
        <v>115964</v>
      </c>
      <c r="F25" s="38">
        <v>17981</v>
      </c>
      <c r="G25" s="38">
        <v>52301</v>
      </c>
      <c r="H25" s="38">
        <v>105287</v>
      </c>
      <c r="I25" s="38">
        <v>239146</v>
      </c>
      <c r="J25" s="38">
        <v>35374</v>
      </c>
      <c r="K25" s="38">
        <v>173084</v>
      </c>
      <c r="L25" s="38">
        <v>142250</v>
      </c>
      <c r="M25" s="38">
        <v>79627</v>
      </c>
      <c r="N25" s="38">
        <v>106790</v>
      </c>
      <c r="O25" s="38">
        <v>86476</v>
      </c>
      <c r="P25" s="38">
        <v>23168</v>
      </c>
      <c r="Q25" s="38">
        <v>15431</v>
      </c>
      <c r="R25" s="38">
        <v>19997</v>
      </c>
      <c r="S25" s="38">
        <v>294042</v>
      </c>
      <c r="T25" s="38">
        <v>116218</v>
      </c>
      <c r="U25" s="38">
        <v>22772</v>
      </c>
      <c r="V25" s="38">
        <v>382154</v>
      </c>
      <c r="W25" s="38">
        <v>135823</v>
      </c>
      <c r="X25" s="38">
        <v>862064</v>
      </c>
      <c r="Y25" s="38">
        <v>378330</v>
      </c>
      <c r="Z25" s="38">
        <v>59155</v>
      </c>
      <c r="AA25" s="38">
        <v>18831564</v>
      </c>
      <c r="AB25" s="38">
        <v>837373</v>
      </c>
      <c r="AC25" s="38">
        <v>366211</v>
      </c>
      <c r="AD25" s="38">
        <v>848928</v>
      </c>
      <c r="AE25" s="38">
        <v>169025</v>
      </c>
      <c r="AF25" s="38">
        <v>98138</v>
      </c>
      <c r="AG25" s="38">
        <v>151080</v>
      </c>
      <c r="AH25" s="38">
        <v>166440</v>
      </c>
      <c r="AI25" s="38">
        <v>8090</v>
      </c>
      <c r="AJ25" s="26">
        <v>25061287</v>
      </c>
      <c r="AK25" s="38">
        <v>0</v>
      </c>
      <c r="AL25" s="38">
        <v>0</v>
      </c>
      <c r="AM25" s="38">
        <v>239341758</v>
      </c>
      <c r="AN25" s="38">
        <v>75543183</v>
      </c>
      <c r="AO25" s="38">
        <v>2120576</v>
      </c>
      <c r="AP25" s="38">
        <v>0</v>
      </c>
      <c r="AQ25" s="59">
        <v>171495</v>
      </c>
      <c r="AR25" s="27">
        <v>317177012</v>
      </c>
      <c r="AS25" s="26">
        <v>342238299</v>
      </c>
    </row>
    <row r="26" spans="1:45" ht="13.5" customHeight="1">
      <c r="A26" s="44" t="s">
        <v>69</v>
      </c>
      <c r="B26" s="15" t="s">
        <v>70</v>
      </c>
      <c r="C26" s="38">
        <v>4007953</v>
      </c>
      <c r="D26" s="38">
        <v>92087</v>
      </c>
      <c r="E26" s="38">
        <v>13351786</v>
      </c>
      <c r="F26" s="38">
        <v>6052387</v>
      </c>
      <c r="G26" s="38">
        <v>3433466</v>
      </c>
      <c r="H26" s="38">
        <v>1889201</v>
      </c>
      <c r="I26" s="38">
        <v>15507162</v>
      </c>
      <c r="J26" s="38">
        <v>2144353</v>
      </c>
      <c r="K26" s="38">
        <v>4334001</v>
      </c>
      <c r="L26" s="38">
        <v>4542835</v>
      </c>
      <c r="M26" s="38">
        <v>11960506</v>
      </c>
      <c r="N26" s="38">
        <v>7306598</v>
      </c>
      <c r="O26" s="38">
        <v>7349893</v>
      </c>
      <c r="P26" s="38">
        <v>13811183</v>
      </c>
      <c r="Q26" s="38">
        <v>2479303</v>
      </c>
      <c r="R26" s="38">
        <v>2354859</v>
      </c>
      <c r="S26" s="38">
        <v>3488014</v>
      </c>
      <c r="T26" s="38">
        <v>1036187</v>
      </c>
      <c r="U26" s="38">
        <v>12290230</v>
      </c>
      <c r="V26" s="38">
        <v>17830697</v>
      </c>
      <c r="W26" s="38">
        <v>3285454</v>
      </c>
      <c r="X26" s="38">
        <v>17102271</v>
      </c>
      <c r="Y26" s="38">
        <v>8887293</v>
      </c>
      <c r="Z26" s="38">
        <v>531826</v>
      </c>
      <c r="AA26" s="38">
        <v>770804</v>
      </c>
      <c r="AB26" s="38">
        <v>6778599</v>
      </c>
      <c r="AC26" s="38">
        <v>2559494</v>
      </c>
      <c r="AD26" s="38">
        <v>2232762</v>
      </c>
      <c r="AE26" s="38">
        <v>2519770</v>
      </c>
      <c r="AF26" s="38">
        <v>13510654</v>
      </c>
      <c r="AG26" s="38">
        <v>1882933</v>
      </c>
      <c r="AH26" s="38">
        <v>3576910</v>
      </c>
      <c r="AI26" s="38">
        <v>43486</v>
      </c>
      <c r="AJ26" s="26">
        <v>198944957</v>
      </c>
      <c r="AK26" s="38">
        <v>134942015</v>
      </c>
      <c r="AL26" s="38">
        <v>0</v>
      </c>
      <c r="AM26" s="38">
        <v>20207842</v>
      </c>
      <c r="AN26" s="38">
        <v>1806222</v>
      </c>
      <c r="AO26" s="38">
        <v>582671</v>
      </c>
      <c r="AP26" s="38">
        <v>578417</v>
      </c>
      <c r="AQ26" s="59">
        <v>39426548</v>
      </c>
      <c r="AR26" s="27">
        <v>197543715</v>
      </c>
      <c r="AS26" s="26">
        <v>396488672</v>
      </c>
    </row>
    <row r="27" spans="1:45" ht="13.5" customHeight="1">
      <c r="A27" s="44" t="s">
        <v>71</v>
      </c>
      <c r="B27" s="15" t="s">
        <v>42</v>
      </c>
      <c r="C27" s="38">
        <v>1455484</v>
      </c>
      <c r="D27" s="38">
        <v>789367</v>
      </c>
      <c r="E27" s="38">
        <v>6273700</v>
      </c>
      <c r="F27" s="38">
        <v>2640759</v>
      </c>
      <c r="G27" s="38">
        <v>2354866</v>
      </c>
      <c r="H27" s="38">
        <v>1689436</v>
      </c>
      <c r="I27" s="38">
        <v>11547482</v>
      </c>
      <c r="J27" s="38">
        <v>5731587</v>
      </c>
      <c r="K27" s="38">
        <v>5283933</v>
      </c>
      <c r="L27" s="38">
        <v>3743123</v>
      </c>
      <c r="M27" s="38">
        <v>4151680</v>
      </c>
      <c r="N27" s="38">
        <v>2781146</v>
      </c>
      <c r="O27" s="38">
        <v>4083581</v>
      </c>
      <c r="P27" s="38">
        <v>3759161</v>
      </c>
      <c r="Q27" s="38">
        <v>1057398</v>
      </c>
      <c r="R27" s="38">
        <v>1503045</v>
      </c>
      <c r="S27" s="38">
        <v>697742</v>
      </c>
      <c r="T27" s="38">
        <v>2965530</v>
      </c>
      <c r="U27" s="38">
        <v>3484132</v>
      </c>
      <c r="V27" s="38">
        <v>30039679</v>
      </c>
      <c r="W27" s="38">
        <v>16237106</v>
      </c>
      <c r="X27" s="38">
        <v>3425013</v>
      </c>
      <c r="Y27" s="38">
        <v>1680955</v>
      </c>
      <c r="Z27" s="38">
        <v>688453</v>
      </c>
      <c r="AA27" s="38">
        <v>725680</v>
      </c>
      <c r="AB27" s="38">
        <v>4488288</v>
      </c>
      <c r="AC27" s="38">
        <v>2323723</v>
      </c>
      <c r="AD27" s="38">
        <v>2414910</v>
      </c>
      <c r="AE27" s="38">
        <v>759395</v>
      </c>
      <c r="AF27" s="38">
        <v>1630347</v>
      </c>
      <c r="AG27" s="38">
        <v>438351</v>
      </c>
      <c r="AH27" s="38">
        <v>1180388</v>
      </c>
      <c r="AI27" s="38">
        <v>194310</v>
      </c>
      <c r="AJ27" s="26">
        <v>132219750</v>
      </c>
      <c r="AK27" s="38">
        <v>37086372</v>
      </c>
      <c r="AL27" s="38">
        <v>0</v>
      </c>
      <c r="AM27" s="38">
        <v>454497</v>
      </c>
      <c r="AN27" s="38">
        <v>177198</v>
      </c>
      <c r="AO27" s="38">
        <v>90062</v>
      </c>
      <c r="AP27" s="38">
        <v>9663</v>
      </c>
      <c r="AQ27" s="59">
        <v>51177729</v>
      </c>
      <c r="AR27" s="27">
        <v>88995521</v>
      </c>
      <c r="AS27" s="26">
        <v>221215271</v>
      </c>
    </row>
    <row r="28" spans="1:45" ht="13.5" customHeight="1">
      <c r="A28" s="44" t="s">
        <v>72</v>
      </c>
      <c r="B28" s="15" t="s">
        <v>15</v>
      </c>
      <c r="C28" s="38">
        <v>424097</v>
      </c>
      <c r="D28" s="38">
        <v>114939</v>
      </c>
      <c r="E28" s="38">
        <v>688368</v>
      </c>
      <c r="F28" s="38">
        <v>535420</v>
      </c>
      <c r="G28" s="38">
        <v>554139</v>
      </c>
      <c r="H28" s="38">
        <v>256785</v>
      </c>
      <c r="I28" s="38">
        <v>1768689</v>
      </c>
      <c r="J28" s="38">
        <v>376524</v>
      </c>
      <c r="K28" s="38">
        <v>850978</v>
      </c>
      <c r="L28" s="38">
        <v>1140166</v>
      </c>
      <c r="M28" s="38">
        <v>1220025</v>
      </c>
      <c r="N28" s="38">
        <v>618338</v>
      </c>
      <c r="O28" s="38">
        <v>1345088</v>
      </c>
      <c r="P28" s="38">
        <v>1189657</v>
      </c>
      <c r="Q28" s="38">
        <v>242467</v>
      </c>
      <c r="R28" s="38">
        <v>2566712</v>
      </c>
      <c r="S28" s="38">
        <v>378590</v>
      </c>
      <c r="T28" s="38">
        <v>679143</v>
      </c>
      <c r="U28" s="38">
        <v>1082537</v>
      </c>
      <c r="V28" s="38">
        <v>15822946</v>
      </c>
      <c r="W28" s="38">
        <v>1893814</v>
      </c>
      <c r="X28" s="38">
        <v>1411013</v>
      </c>
      <c r="Y28" s="38">
        <v>3245239</v>
      </c>
      <c r="Z28" s="38">
        <v>4183334</v>
      </c>
      <c r="AA28" s="38">
        <v>2609811</v>
      </c>
      <c r="AB28" s="38">
        <v>12575115</v>
      </c>
      <c r="AC28" s="38">
        <v>4648595</v>
      </c>
      <c r="AD28" s="38">
        <v>5512068</v>
      </c>
      <c r="AE28" s="38">
        <v>3957106</v>
      </c>
      <c r="AF28" s="38">
        <v>5414243</v>
      </c>
      <c r="AG28" s="38">
        <v>2187840</v>
      </c>
      <c r="AH28" s="38">
        <v>4900422</v>
      </c>
      <c r="AI28" s="38">
        <v>7027</v>
      </c>
      <c r="AJ28" s="26">
        <v>84401235</v>
      </c>
      <c r="AK28" s="38">
        <v>128683063</v>
      </c>
      <c r="AL28" s="38">
        <v>0</v>
      </c>
      <c r="AM28" s="38">
        <v>0</v>
      </c>
      <c r="AN28" s="38">
        <v>0</v>
      </c>
      <c r="AO28" s="38">
        <v>0</v>
      </c>
      <c r="AP28" s="38">
        <v>0</v>
      </c>
      <c r="AQ28" s="59">
        <v>10651506</v>
      </c>
      <c r="AR28" s="27">
        <v>139334569</v>
      </c>
      <c r="AS28" s="26">
        <v>223735804</v>
      </c>
    </row>
    <row r="29" spans="1:45" ht="13.5" customHeight="1">
      <c r="A29" s="44" t="s">
        <v>73</v>
      </c>
      <c r="B29" s="15" t="s">
        <v>16</v>
      </c>
      <c r="C29" s="38">
        <v>172238</v>
      </c>
      <c r="D29" s="38">
        <v>24981</v>
      </c>
      <c r="E29" s="38">
        <v>347152</v>
      </c>
      <c r="F29" s="38">
        <v>174507</v>
      </c>
      <c r="G29" s="38">
        <v>343027</v>
      </c>
      <c r="H29" s="38">
        <v>440735</v>
      </c>
      <c r="I29" s="38">
        <v>773216</v>
      </c>
      <c r="J29" s="38">
        <v>156745</v>
      </c>
      <c r="K29" s="38">
        <v>522733</v>
      </c>
      <c r="L29" s="38">
        <v>524241</v>
      </c>
      <c r="M29" s="38">
        <v>1159957</v>
      </c>
      <c r="N29" s="38">
        <v>400474</v>
      </c>
      <c r="O29" s="38">
        <v>579829</v>
      </c>
      <c r="P29" s="38">
        <v>649040</v>
      </c>
      <c r="Q29" s="38">
        <v>264949</v>
      </c>
      <c r="R29" s="38">
        <v>519495</v>
      </c>
      <c r="S29" s="38">
        <v>158213</v>
      </c>
      <c r="T29" s="38">
        <v>503736</v>
      </c>
      <c r="U29" s="38">
        <v>791609</v>
      </c>
      <c r="V29" s="38">
        <v>10249934</v>
      </c>
      <c r="W29" s="38">
        <v>2143065</v>
      </c>
      <c r="X29" s="38">
        <v>2352228</v>
      </c>
      <c r="Y29" s="38">
        <v>27383951</v>
      </c>
      <c r="Z29" s="38">
        <v>9040871</v>
      </c>
      <c r="AA29" s="38">
        <v>1261448</v>
      </c>
      <c r="AB29" s="38">
        <v>22222069</v>
      </c>
      <c r="AC29" s="38">
        <v>2632221</v>
      </c>
      <c r="AD29" s="38">
        <v>3894169</v>
      </c>
      <c r="AE29" s="38">
        <v>4281654</v>
      </c>
      <c r="AF29" s="38">
        <v>1498712</v>
      </c>
      <c r="AG29" s="38">
        <v>3918781</v>
      </c>
      <c r="AH29" s="38">
        <v>1497188</v>
      </c>
      <c r="AI29" s="38">
        <v>33594</v>
      </c>
      <c r="AJ29" s="26">
        <v>100916762</v>
      </c>
      <c r="AK29" s="38">
        <v>53433861</v>
      </c>
      <c r="AL29" s="38">
        <v>0</v>
      </c>
      <c r="AM29" s="38">
        <v>41661077</v>
      </c>
      <c r="AN29" s="38">
        <v>768992</v>
      </c>
      <c r="AO29" s="38">
        <v>36600</v>
      </c>
      <c r="AP29" s="38">
        <v>0</v>
      </c>
      <c r="AQ29" s="59">
        <v>21485525</v>
      </c>
      <c r="AR29" s="27">
        <v>117386055</v>
      </c>
      <c r="AS29" s="26">
        <v>218302817</v>
      </c>
    </row>
    <row r="30" spans="1:45" ht="13.5" customHeight="1">
      <c r="A30" s="44" t="s">
        <v>74</v>
      </c>
      <c r="B30" s="15" t="s">
        <v>17</v>
      </c>
      <c r="C30" s="38">
        <v>1146661</v>
      </c>
      <c r="D30" s="38">
        <v>62008</v>
      </c>
      <c r="E30" s="38">
        <v>1794802</v>
      </c>
      <c r="F30" s="38">
        <v>1056287</v>
      </c>
      <c r="G30" s="38">
        <v>827984</v>
      </c>
      <c r="H30" s="38">
        <v>1164180</v>
      </c>
      <c r="I30" s="38">
        <v>4095210</v>
      </c>
      <c r="J30" s="38">
        <v>666788</v>
      </c>
      <c r="K30" s="38">
        <v>1685705</v>
      </c>
      <c r="L30" s="38">
        <v>1789493</v>
      </c>
      <c r="M30" s="38">
        <v>2896363</v>
      </c>
      <c r="N30" s="38">
        <v>1668226</v>
      </c>
      <c r="O30" s="38">
        <v>2589161</v>
      </c>
      <c r="P30" s="38">
        <v>2950270</v>
      </c>
      <c r="Q30" s="38">
        <v>369823</v>
      </c>
      <c r="R30" s="38">
        <v>666125</v>
      </c>
      <c r="S30" s="38">
        <v>1492471</v>
      </c>
      <c r="T30" s="38">
        <v>701871</v>
      </c>
      <c r="U30" s="38">
        <v>4524872</v>
      </c>
      <c r="V30" s="38">
        <v>9135793</v>
      </c>
      <c r="W30" s="38">
        <v>2625869</v>
      </c>
      <c r="X30" s="38">
        <v>3543467</v>
      </c>
      <c r="Y30" s="38">
        <v>2430070</v>
      </c>
      <c r="Z30" s="38">
        <v>39388985</v>
      </c>
      <c r="AA30" s="38">
        <v>20486325</v>
      </c>
      <c r="AB30" s="38">
        <v>3389051</v>
      </c>
      <c r="AC30" s="38">
        <v>1543899</v>
      </c>
      <c r="AD30" s="38">
        <v>4108689</v>
      </c>
      <c r="AE30" s="38">
        <v>3027823</v>
      </c>
      <c r="AF30" s="38">
        <v>4383527</v>
      </c>
      <c r="AG30" s="38">
        <v>1135275</v>
      </c>
      <c r="AH30" s="38">
        <v>1793215</v>
      </c>
      <c r="AI30" s="38">
        <v>0</v>
      </c>
      <c r="AJ30" s="26">
        <v>129140288</v>
      </c>
      <c r="AK30" s="38">
        <v>92470217</v>
      </c>
      <c r="AL30" s="38">
        <v>149222</v>
      </c>
      <c r="AM30" s="38">
        <v>0</v>
      </c>
      <c r="AN30" s="38">
        <v>0</v>
      </c>
      <c r="AO30" s="38">
        <v>0</v>
      </c>
      <c r="AP30" s="38">
        <v>0</v>
      </c>
      <c r="AQ30" s="59">
        <v>9183457</v>
      </c>
      <c r="AR30" s="27">
        <v>101802896</v>
      </c>
      <c r="AS30" s="26">
        <v>230943184</v>
      </c>
    </row>
    <row r="31" spans="1:45" ht="13.5" customHeight="1">
      <c r="A31" s="44" t="s">
        <v>75</v>
      </c>
      <c r="B31" s="15" t="s">
        <v>76</v>
      </c>
      <c r="C31" s="38">
        <v>35759</v>
      </c>
      <c r="D31" s="38">
        <v>6517</v>
      </c>
      <c r="E31" s="38">
        <v>354119</v>
      </c>
      <c r="F31" s="38">
        <v>277677</v>
      </c>
      <c r="G31" s="38">
        <v>193890</v>
      </c>
      <c r="H31" s="38">
        <v>120025</v>
      </c>
      <c r="I31" s="38">
        <v>459033</v>
      </c>
      <c r="J31" s="38">
        <v>68453</v>
      </c>
      <c r="K31" s="38">
        <v>207411</v>
      </c>
      <c r="L31" s="38">
        <v>211350</v>
      </c>
      <c r="M31" s="38">
        <v>338577</v>
      </c>
      <c r="N31" s="38">
        <v>330180</v>
      </c>
      <c r="O31" s="38">
        <v>206296</v>
      </c>
      <c r="P31" s="38">
        <v>296000</v>
      </c>
      <c r="Q31" s="38">
        <v>144166</v>
      </c>
      <c r="R31" s="38">
        <v>448247</v>
      </c>
      <c r="S31" s="38">
        <v>73958</v>
      </c>
      <c r="T31" s="38">
        <v>540248</v>
      </c>
      <c r="U31" s="38">
        <v>532682</v>
      </c>
      <c r="V31" s="38">
        <v>19348303</v>
      </c>
      <c r="W31" s="38">
        <v>1777920</v>
      </c>
      <c r="X31" s="38">
        <v>10689611</v>
      </c>
      <c r="Y31" s="38">
        <v>2195273</v>
      </c>
      <c r="Z31" s="38">
        <v>3782290</v>
      </c>
      <c r="AA31" s="38">
        <v>7889252</v>
      </c>
      <c r="AB31" s="38">
        <v>9116611</v>
      </c>
      <c r="AC31" s="38">
        <v>2161080</v>
      </c>
      <c r="AD31" s="38">
        <v>443079</v>
      </c>
      <c r="AE31" s="38">
        <v>3879704</v>
      </c>
      <c r="AF31" s="38">
        <v>4077403</v>
      </c>
      <c r="AG31" s="38">
        <v>629764</v>
      </c>
      <c r="AH31" s="38">
        <v>1823705</v>
      </c>
      <c r="AI31" s="38">
        <v>3335</v>
      </c>
      <c r="AJ31" s="26">
        <v>72661918</v>
      </c>
      <c r="AK31" s="38">
        <v>152863483</v>
      </c>
      <c r="AL31" s="38">
        <v>0</v>
      </c>
      <c r="AM31" s="38">
        <v>45947699</v>
      </c>
      <c r="AN31" s="38">
        <v>16733</v>
      </c>
      <c r="AO31" s="38">
        <v>0</v>
      </c>
      <c r="AP31" s="38">
        <v>0</v>
      </c>
      <c r="AQ31" s="59">
        <v>321254</v>
      </c>
      <c r="AR31" s="27">
        <v>199149169</v>
      </c>
      <c r="AS31" s="26">
        <v>271811087</v>
      </c>
    </row>
    <row r="32" spans="1:45" ht="13.5" customHeight="1">
      <c r="A32" s="44" t="s">
        <v>77</v>
      </c>
      <c r="B32" s="15" t="s">
        <v>43</v>
      </c>
      <c r="C32" s="38">
        <v>1202708</v>
      </c>
      <c r="D32" s="38">
        <v>255191</v>
      </c>
      <c r="E32" s="38">
        <v>9225372</v>
      </c>
      <c r="F32" s="38">
        <v>1740199</v>
      </c>
      <c r="G32" s="38">
        <v>1572069</v>
      </c>
      <c r="H32" s="38">
        <v>2908745</v>
      </c>
      <c r="I32" s="38">
        <v>16858548</v>
      </c>
      <c r="J32" s="38">
        <v>2089914</v>
      </c>
      <c r="K32" s="38">
        <v>6202430</v>
      </c>
      <c r="L32" s="38">
        <v>3987499</v>
      </c>
      <c r="M32" s="38">
        <v>8492856</v>
      </c>
      <c r="N32" s="38">
        <v>5843298</v>
      </c>
      <c r="O32" s="38">
        <v>6611787</v>
      </c>
      <c r="P32" s="38">
        <v>9683294</v>
      </c>
      <c r="Q32" s="38">
        <v>1292531</v>
      </c>
      <c r="R32" s="38">
        <v>3782155</v>
      </c>
      <c r="S32" s="38">
        <v>2152100</v>
      </c>
      <c r="T32" s="38">
        <v>2888568</v>
      </c>
      <c r="U32" s="38">
        <v>27207790</v>
      </c>
      <c r="V32" s="38">
        <v>19325099</v>
      </c>
      <c r="W32" s="38">
        <v>7340191</v>
      </c>
      <c r="X32" s="38">
        <v>4772467</v>
      </c>
      <c r="Y32" s="38">
        <v>11316648</v>
      </c>
      <c r="Z32" s="38">
        <v>5270086</v>
      </c>
      <c r="AA32" s="38">
        <v>4117032</v>
      </c>
      <c r="AB32" s="38">
        <v>20920626</v>
      </c>
      <c r="AC32" s="38">
        <v>6307310</v>
      </c>
      <c r="AD32" s="38">
        <v>2930797</v>
      </c>
      <c r="AE32" s="38">
        <v>4395544</v>
      </c>
      <c r="AF32" s="38">
        <v>1522682</v>
      </c>
      <c r="AG32" s="38">
        <v>1207978</v>
      </c>
      <c r="AH32" s="38">
        <v>2340027</v>
      </c>
      <c r="AI32" s="38">
        <v>7325</v>
      </c>
      <c r="AJ32" s="26">
        <v>205770866</v>
      </c>
      <c r="AK32" s="38">
        <v>6403196</v>
      </c>
      <c r="AL32" s="38">
        <v>0</v>
      </c>
      <c r="AM32" s="38">
        <v>97363032</v>
      </c>
      <c r="AN32" s="38">
        <v>14936963</v>
      </c>
      <c r="AO32" s="38">
        <v>0</v>
      </c>
      <c r="AP32" s="38">
        <v>0</v>
      </c>
      <c r="AQ32" s="59">
        <v>31221303</v>
      </c>
      <c r="AR32" s="27">
        <v>149924494</v>
      </c>
      <c r="AS32" s="26">
        <v>355695360</v>
      </c>
    </row>
    <row r="33" spans="1:46" ht="13.5" customHeight="1">
      <c r="A33" s="44" t="s">
        <v>78</v>
      </c>
      <c r="B33" s="15" t="s">
        <v>18</v>
      </c>
      <c r="C33" s="38">
        <v>179997</v>
      </c>
      <c r="D33" s="38">
        <v>253174</v>
      </c>
      <c r="E33" s="38">
        <v>822576</v>
      </c>
      <c r="F33" s="38">
        <v>475408</v>
      </c>
      <c r="G33" s="38">
        <v>595159</v>
      </c>
      <c r="H33" s="38">
        <v>582675</v>
      </c>
      <c r="I33" s="38">
        <v>1593256</v>
      </c>
      <c r="J33" s="38">
        <v>319380</v>
      </c>
      <c r="K33" s="38">
        <v>1912991</v>
      </c>
      <c r="L33" s="38">
        <v>1289759</v>
      </c>
      <c r="M33" s="38">
        <v>2388735</v>
      </c>
      <c r="N33" s="38">
        <v>832266</v>
      </c>
      <c r="O33" s="38">
        <v>774252</v>
      </c>
      <c r="P33" s="38">
        <v>3823704</v>
      </c>
      <c r="Q33" s="38">
        <v>199056</v>
      </c>
      <c r="R33" s="38">
        <v>4035221</v>
      </c>
      <c r="S33" s="38">
        <v>1244502</v>
      </c>
      <c r="T33" s="38">
        <v>1365066</v>
      </c>
      <c r="U33" s="38">
        <v>9536836</v>
      </c>
      <c r="V33" s="38">
        <v>9469945</v>
      </c>
      <c r="W33" s="38">
        <v>7345594</v>
      </c>
      <c r="X33" s="38">
        <v>1720523</v>
      </c>
      <c r="Y33" s="38">
        <v>8271635</v>
      </c>
      <c r="Z33" s="38">
        <v>8171592</v>
      </c>
      <c r="AA33" s="38">
        <v>11698707</v>
      </c>
      <c r="AB33" s="38">
        <v>15430339</v>
      </c>
      <c r="AC33" s="38">
        <v>10161024</v>
      </c>
      <c r="AD33" s="38">
        <v>5097290</v>
      </c>
      <c r="AE33" s="38">
        <v>3699833</v>
      </c>
      <c r="AF33" s="38">
        <v>3015768</v>
      </c>
      <c r="AG33" s="38">
        <v>3079879</v>
      </c>
      <c r="AH33" s="38">
        <v>879520</v>
      </c>
      <c r="AI33" s="38">
        <v>5248</v>
      </c>
      <c r="AJ33" s="26">
        <v>120270910</v>
      </c>
      <c r="AK33" s="38">
        <v>8349841</v>
      </c>
      <c r="AL33" s="38">
        <v>0</v>
      </c>
      <c r="AM33" s="38">
        <v>0</v>
      </c>
      <c r="AN33" s="38">
        <v>0</v>
      </c>
      <c r="AO33" s="38">
        <v>0</v>
      </c>
      <c r="AP33" s="38">
        <v>0</v>
      </c>
      <c r="AQ33" s="59">
        <v>15690205</v>
      </c>
      <c r="AR33" s="27">
        <v>24040046</v>
      </c>
      <c r="AS33" s="26">
        <v>144310956</v>
      </c>
    </row>
    <row r="34" spans="1:46" ht="13.5" customHeight="1">
      <c r="A34" s="44" t="s">
        <v>79</v>
      </c>
      <c r="B34" s="15" t="s">
        <v>80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270204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8">
        <v>4326091</v>
      </c>
      <c r="AJ34" s="26">
        <v>4596295</v>
      </c>
      <c r="AK34" s="38">
        <v>4098405</v>
      </c>
      <c r="AL34" s="38">
        <v>193826946</v>
      </c>
      <c r="AM34" s="38">
        <v>0</v>
      </c>
      <c r="AN34" s="38">
        <v>0</v>
      </c>
      <c r="AO34" s="38">
        <v>0</v>
      </c>
      <c r="AP34" s="38">
        <v>0</v>
      </c>
      <c r="AQ34" s="59">
        <v>34003</v>
      </c>
      <c r="AR34" s="27">
        <v>197959354</v>
      </c>
      <c r="AS34" s="26">
        <v>202555649</v>
      </c>
    </row>
    <row r="35" spans="1:46" ht="13.5" customHeight="1">
      <c r="A35" s="44" t="s">
        <v>81</v>
      </c>
      <c r="B35" s="15" t="s">
        <v>19</v>
      </c>
      <c r="C35" s="38">
        <v>3253</v>
      </c>
      <c r="D35" s="38">
        <v>1120</v>
      </c>
      <c r="E35" s="38">
        <v>41819</v>
      </c>
      <c r="F35" s="38">
        <v>10820</v>
      </c>
      <c r="G35" s="38">
        <v>22739</v>
      </c>
      <c r="H35" s="38">
        <v>31819</v>
      </c>
      <c r="I35" s="38">
        <v>135325</v>
      </c>
      <c r="J35" s="38">
        <v>20004</v>
      </c>
      <c r="K35" s="38">
        <v>81507</v>
      </c>
      <c r="L35" s="38">
        <v>106987</v>
      </c>
      <c r="M35" s="38">
        <v>83867</v>
      </c>
      <c r="N35" s="38">
        <v>77661</v>
      </c>
      <c r="O35" s="38">
        <v>102911</v>
      </c>
      <c r="P35" s="38">
        <v>65469</v>
      </c>
      <c r="Q35" s="38">
        <v>4489</v>
      </c>
      <c r="R35" s="38">
        <v>252301</v>
      </c>
      <c r="S35" s="38">
        <v>25828</v>
      </c>
      <c r="T35" s="38">
        <v>25300</v>
      </c>
      <c r="U35" s="38">
        <v>73846</v>
      </c>
      <c r="V35" s="38">
        <v>863705</v>
      </c>
      <c r="W35" s="38">
        <v>69462</v>
      </c>
      <c r="X35" s="38">
        <v>93481</v>
      </c>
      <c r="Y35" s="38">
        <v>149910</v>
      </c>
      <c r="Z35" s="38">
        <v>339720</v>
      </c>
      <c r="AA35" s="38">
        <v>184446</v>
      </c>
      <c r="AB35" s="38">
        <v>421155</v>
      </c>
      <c r="AC35" s="38">
        <v>83373</v>
      </c>
      <c r="AD35" s="38">
        <v>4656</v>
      </c>
      <c r="AE35" s="38">
        <v>76122</v>
      </c>
      <c r="AF35" s="38">
        <v>24028</v>
      </c>
      <c r="AG35" s="38">
        <v>20992</v>
      </c>
      <c r="AH35" s="38">
        <v>93841</v>
      </c>
      <c r="AI35" s="38">
        <v>676</v>
      </c>
      <c r="AJ35" s="26">
        <v>3592632</v>
      </c>
      <c r="AK35" s="38">
        <v>61336228</v>
      </c>
      <c r="AL35" s="38">
        <v>89090202</v>
      </c>
      <c r="AM35" s="38">
        <v>0</v>
      </c>
      <c r="AN35" s="38">
        <v>0</v>
      </c>
      <c r="AO35" s="38">
        <v>0</v>
      </c>
      <c r="AP35" s="38">
        <v>0</v>
      </c>
      <c r="AQ35" s="59">
        <v>319935</v>
      </c>
      <c r="AR35" s="27">
        <v>150746365</v>
      </c>
      <c r="AS35" s="26">
        <v>154338997</v>
      </c>
    </row>
    <row r="36" spans="1:46" ht="13.5" customHeight="1">
      <c r="A36" s="44" t="s">
        <v>82</v>
      </c>
      <c r="B36" s="15" t="s">
        <v>83</v>
      </c>
      <c r="C36" s="38">
        <v>83873</v>
      </c>
      <c r="D36" s="38">
        <v>14497</v>
      </c>
      <c r="E36" s="38">
        <v>128422</v>
      </c>
      <c r="F36" s="38">
        <v>54243</v>
      </c>
      <c r="G36" s="38">
        <v>69491</v>
      </c>
      <c r="H36" s="38">
        <v>32427</v>
      </c>
      <c r="I36" s="38">
        <v>217065</v>
      </c>
      <c r="J36" s="38">
        <v>42381</v>
      </c>
      <c r="K36" s="38">
        <v>112512</v>
      </c>
      <c r="L36" s="38">
        <v>173400</v>
      </c>
      <c r="M36" s="38">
        <v>151296</v>
      </c>
      <c r="N36" s="38">
        <v>118630</v>
      </c>
      <c r="O36" s="38">
        <v>214771</v>
      </c>
      <c r="P36" s="38">
        <v>276179</v>
      </c>
      <c r="Q36" s="38">
        <v>30648</v>
      </c>
      <c r="R36" s="38">
        <v>207648</v>
      </c>
      <c r="S36" s="38">
        <v>36827</v>
      </c>
      <c r="T36" s="38">
        <v>141683</v>
      </c>
      <c r="U36" s="38">
        <v>396109</v>
      </c>
      <c r="V36" s="38">
        <v>1295493</v>
      </c>
      <c r="W36" s="38">
        <v>149288</v>
      </c>
      <c r="X36" s="38">
        <v>490822</v>
      </c>
      <c r="Y36" s="38">
        <v>305107</v>
      </c>
      <c r="Z36" s="38">
        <v>427328</v>
      </c>
      <c r="AA36" s="38">
        <v>224359</v>
      </c>
      <c r="AB36" s="38">
        <v>779133</v>
      </c>
      <c r="AC36" s="38">
        <v>272948</v>
      </c>
      <c r="AD36" s="38">
        <v>73949</v>
      </c>
      <c r="AE36" s="38">
        <v>294132</v>
      </c>
      <c r="AF36" s="38">
        <v>548305</v>
      </c>
      <c r="AG36" s="38">
        <v>203581</v>
      </c>
      <c r="AH36" s="38">
        <v>166511</v>
      </c>
      <c r="AI36" s="38">
        <v>853</v>
      </c>
      <c r="AJ36" s="26">
        <v>7733911</v>
      </c>
      <c r="AK36" s="38">
        <v>73726142</v>
      </c>
      <c r="AL36" s="38">
        <v>136924224</v>
      </c>
      <c r="AM36" s="38">
        <v>0</v>
      </c>
      <c r="AN36" s="38">
        <v>0</v>
      </c>
      <c r="AO36" s="38">
        <v>0</v>
      </c>
      <c r="AP36" s="38">
        <v>0</v>
      </c>
      <c r="AQ36" s="59">
        <v>766926</v>
      </c>
      <c r="AR36" s="27">
        <v>211417292</v>
      </c>
      <c r="AS36" s="26">
        <v>219151203</v>
      </c>
    </row>
    <row r="37" spans="1:46" ht="13.5" customHeight="1">
      <c r="A37" s="44" t="s">
        <v>84</v>
      </c>
      <c r="B37" s="15" t="s">
        <v>85</v>
      </c>
      <c r="C37" s="38">
        <v>65501</v>
      </c>
      <c r="D37" s="38">
        <v>36492</v>
      </c>
      <c r="E37" s="38">
        <v>133509</v>
      </c>
      <c r="F37" s="38">
        <v>96388</v>
      </c>
      <c r="G37" s="38">
        <v>96946</v>
      </c>
      <c r="H37" s="38">
        <v>65738</v>
      </c>
      <c r="I37" s="38">
        <v>327711</v>
      </c>
      <c r="J37" s="38">
        <v>64077</v>
      </c>
      <c r="K37" s="38">
        <v>259720</v>
      </c>
      <c r="L37" s="38">
        <v>249650</v>
      </c>
      <c r="M37" s="38">
        <v>127632</v>
      </c>
      <c r="N37" s="38">
        <v>127269</v>
      </c>
      <c r="O37" s="38">
        <v>224484</v>
      </c>
      <c r="P37" s="38">
        <v>112354</v>
      </c>
      <c r="Q37" s="38">
        <v>32963</v>
      </c>
      <c r="R37" s="38">
        <v>269851</v>
      </c>
      <c r="S37" s="38">
        <v>55203</v>
      </c>
      <c r="T37" s="38">
        <v>123402</v>
      </c>
      <c r="U37" s="38">
        <v>261929</v>
      </c>
      <c r="V37" s="38">
        <v>381946</v>
      </c>
      <c r="W37" s="38">
        <v>634186</v>
      </c>
      <c r="X37" s="38">
        <v>135888</v>
      </c>
      <c r="Y37" s="38">
        <v>1695218</v>
      </c>
      <c r="Z37" s="38">
        <v>618809</v>
      </c>
      <c r="AA37" s="38">
        <v>269150</v>
      </c>
      <c r="AB37" s="38">
        <v>1906073</v>
      </c>
      <c r="AC37" s="38">
        <v>533578</v>
      </c>
      <c r="AD37" s="38">
        <v>138820</v>
      </c>
      <c r="AE37" s="38">
        <v>1102413</v>
      </c>
      <c r="AF37" s="38">
        <v>339042</v>
      </c>
      <c r="AG37" s="38">
        <v>2358603</v>
      </c>
      <c r="AH37" s="38">
        <v>361226</v>
      </c>
      <c r="AI37" s="38">
        <v>1604</v>
      </c>
      <c r="AJ37" s="26">
        <v>13207375</v>
      </c>
      <c r="AK37" s="38">
        <v>42830865</v>
      </c>
      <c r="AL37" s="38">
        <v>4781313</v>
      </c>
      <c r="AM37" s="38">
        <v>1000872</v>
      </c>
      <c r="AN37" s="38">
        <v>0</v>
      </c>
      <c r="AO37" s="38">
        <v>0</v>
      </c>
      <c r="AP37" s="38">
        <v>126</v>
      </c>
      <c r="AQ37" s="59">
        <v>2880068</v>
      </c>
      <c r="AR37" s="27">
        <v>51493244</v>
      </c>
      <c r="AS37" s="26">
        <v>64700619</v>
      </c>
    </row>
    <row r="38" spans="1:46" ht="13.5" customHeight="1">
      <c r="A38" s="44" t="s">
        <v>86</v>
      </c>
      <c r="B38" s="15" t="s">
        <v>87</v>
      </c>
      <c r="C38" s="38">
        <v>87910</v>
      </c>
      <c r="D38" s="38">
        <v>30210</v>
      </c>
      <c r="E38" s="38">
        <v>287853</v>
      </c>
      <c r="F38" s="38">
        <v>99799</v>
      </c>
      <c r="G38" s="38">
        <v>105392</v>
      </c>
      <c r="H38" s="38">
        <v>133954</v>
      </c>
      <c r="I38" s="38">
        <v>345335</v>
      </c>
      <c r="J38" s="38">
        <v>134596</v>
      </c>
      <c r="K38" s="38">
        <v>350976</v>
      </c>
      <c r="L38" s="38">
        <v>345022</v>
      </c>
      <c r="M38" s="38">
        <v>334275</v>
      </c>
      <c r="N38" s="38">
        <v>258947</v>
      </c>
      <c r="O38" s="38">
        <v>370778</v>
      </c>
      <c r="P38" s="38">
        <v>325250</v>
      </c>
      <c r="Q38" s="38">
        <v>35807</v>
      </c>
      <c r="R38" s="38">
        <v>608613</v>
      </c>
      <c r="S38" s="38">
        <v>54441</v>
      </c>
      <c r="T38" s="38">
        <v>355823</v>
      </c>
      <c r="U38" s="38">
        <v>576663</v>
      </c>
      <c r="V38" s="38">
        <v>3129098</v>
      </c>
      <c r="W38" s="38">
        <v>3278697</v>
      </c>
      <c r="X38" s="38">
        <v>624266</v>
      </c>
      <c r="Y38" s="38">
        <v>676213</v>
      </c>
      <c r="Z38" s="38">
        <v>900216</v>
      </c>
      <c r="AA38" s="38">
        <v>393727</v>
      </c>
      <c r="AB38" s="38">
        <v>2508434</v>
      </c>
      <c r="AC38" s="38">
        <v>1416080</v>
      </c>
      <c r="AD38" s="38">
        <v>325503</v>
      </c>
      <c r="AE38" s="38">
        <v>1302167</v>
      </c>
      <c r="AF38" s="38">
        <v>426667</v>
      </c>
      <c r="AG38" s="38">
        <v>507711</v>
      </c>
      <c r="AH38" s="38">
        <v>574896</v>
      </c>
      <c r="AI38" s="38">
        <v>750</v>
      </c>
      <c r="AJ38" s="26">
        <v>20906069</v>
      </c>
      <c r="AK38" s="38">
        <v>58946513</v>
      </c>
      <c r="AL38" s="38">
        <v>0</v>
      </c>
      <c r="AM38" s="38">
        <v>0</v>
      </c>
      <c r="AN38" s="38">
        <v>0</v>
      </c>
      <c r="AO38" s="38">
        <v>0</v>
      </c>
      <c r="AP38" s="38">
        <v>0</v>
      </c>
      <c r="AQ38" s="59">
        <v>1747533</v>
      </c>
      <c r="AR38" s="27">
        <v>60694046</v>
      </c>
      <c r="AS38" s="26">
        <v>81600115</v>
      </c>
    </row>
    <row r="39" spans="1:46" ht="13.5" customHeight="1">
      <c r="A39" s="44" t="s">
        <v>88</v>
      </c>
      <c r="B39" s="15" t="s">
        <v>89</v>
      </c>
      <c r="C39" s="38">
        <v>269414</v>
      </c>
      <c r="D39" s="38">
        <v>15963</v>
      </c>
      <c r="E39" s="38">
        <v>83286</v>
      </c>
      <c r="F39" s="38">
        <v>18483</v>
      </c>
      <c r="G39" s="38">
        <v>75392</v>
      </c>
      <c r="H39" s="38">
        <v>137738</v>
      </c>
      <c r="I39" s="38">
        <v>792652</v>
      </c>
      <c r="J39" s="38">
        <v>23147</v>
      </c>
      <c r="K39" s="38">
        <v>42575</v>
      </c>
      <c r="L39" s="38">
        <v>131618</v>
      </c>
      <c r="M39" s="38">
        <v>63701</v>
      </c>
      <c r="N39" s="38">
        <v>54728</v>
      </c>
      <c r="O39" s="38">
        <v>91336</v>
      </c>
      <c r="P39" s="38">
        <v>23958</v>
      </c>
      <c r="Q39" s="38">
        <v>18948</v>
      </c>
      <c r="R39" s="38">
        <v>433554</v>
      </c>
      <c r="S39" s="38">
        <v>142445</v>
      </c>
      <c r="T39" s="38">
        <v>40948</v>
      </c>
      <c r="U39" s="38">
        <v>32265</v>
      </c>
      <c r="V39" s="38">
        <v>492128</v>
      </c>
      <c r="W39" s="38">
        <v>55217</v>
      </c>
      <c r="X39" s="38">
        <v>250478</v>
      </c>
      <c r="Y39" s="38">
        <v>428335</v>
      </c>
      <c r="Z39" s="38">
        <v>58639</v>
      </c>
      <c r="AA39" s="38">
        <v>537173</v>
      </c>
      <c r="AB39" s="38">
        <v>239556</v>
      </c>
      <c r="AC39" s="38">
        <v>179839</v>
      </c>
      <c r="AD39" s="38">
        <v>45902</v>
      </c>
      <c r="AE39" s="38">
        <v>36693</v>
      </c>
      <c r="AF39" s="38">
        <v>373801</v>
      </c>
      <c r="AG39" s="38">
        <v>101652</v>
      </c>
      <c r="AH39" s="38">
        <v>54194</v>
      </c>
      <c r="AI39" s="38">
        <v>109679</v>
      </c>
      <c r="AJ39" s="26">
        <v>5455437</v>
      </c>
      <c r="AK39" s="38">
        <v>-435478</v>
      </c>
      <c r="AL39" s="38">
        <v>0</v>
      </c>
      <c r="AM39" s="38">
        <v>0</v>
      </c>
      <c r="AN39" s="38">
        <v>0</v>
      </c>
      <c r="AO39" s="38">
        <v>0</v>
      </c>
      <c r="AP39" s="38">
        <v>0</v>
      </c>
      <c r="AQ39" s="59">
        <v>0</v>
      </c>
      <c r="AR39" s="27">
        <v>-435478</v>
      </c>
      <c r="AS39" s="26">
        <v>5019959</v>
      </c>
    </row>
    <row r="40" spans="1:46" ht="13.5" customHeight="1">
      <c r="A40" s="46" t="s">
        <v>91</v>
      </c>
      <c r="B40" s="16" t="s">
        <v>20</v>
      </c>
      <c r="C40" s="40">
        <v>36629418</v>
      </c>
      <c r="D40" s="40">
        <v>3132309</v>
      </c>
      <c r="E40" s="40">
        <v>113343360</v>
      </c>
      <c r="F40" s="40">
        <v>35375741</v>
      </c>
      <c r="G40" s="40">
        <v>33457207</v>
      </c>
      <c r="H40" s="40">
        <v>29230925</v>
      </c>
      <c r="I40" s="40">
        <v>188086537</v>
      </c>
      <c r="J40" s="40">
        <v>33179722</v>
      </c>
      <c r="K40" s="40">
        <v>87669754</v>
      </c>
      <c r="L40" s="40">
        <v>82319774</v>
      </c>
      <c r="M40" s="40">
        <v>128829304</v>
      </c>
      <c r="N40" s="40">
        <v>94361801</v>
      </c>
      <c r="O40" s="40">
        <v>112545716</v>
      </c>
      <c r="P40" s="40">
        <v>228228617</v>
      </c>
      <c r="Q40" s="40">
        <v>17968881</v>
      </c>
      <c r="R40" s="40">
        <v>48693679</v>
      </c>
      <c r="S40" s="40">
        <v>48196749</v>
      </c>
      <c r="T40" s="40">
        <v>22227137</v>
      </c>
      <c r="U40" s="40">
        <v>187124691</v>
      </c>
      <c r="V40" s="40">
        <v>171773776</v>
      </c>
      <c r="W40" s="40">
        <v>83129741</v>
      </c>
      <c r="X40" s="40">
        <v>138211903</v>
      </c>
      <c r="Y40" s="40">
        <v>84252364</v>
      </c>
      <c r="Z40" s="40">
        <v>78191811</v>
      </c>
      <c r="AA40" s="40">
        <v>79467442</v>
      </c>
      <c r="AB40" s="40">
        <v>157264645</v>
      </c>
      <c r="AC40" s="40">
        <v>51749545</v>
      </c>
      <c r="AD40" s="40">
        <v>45848739</v>
      </c>
      <c r="AE40" s="40">
        <v>48684605</v>
      </c>
      <c r="AF40" s="40">
        <v>76696145</v>
      </c>
      <c r="AG40" s="40">
        <v>26439064</v>
      </c>
      <c r="AH40" s="40">
        <v>41890955</v>
      </c>
      <c r="AI40" s="40">
        <v>5013554</v>
      </c>
      <c r="AJ40" s="40">
        <v>2619215611</v>
      </c>
      <c r="AK40" s="40">
        <v>1065594685</v>
      </c>
      <c r="AL40" s="40">
        <v>428148599</v>
      </c>
      <c r="AM40" s="40">
        <v>562479286</v>
      </c>
      <c r="AN40" s="40">
        <v>105301054</v>
      </c>
      <c r="AO40" s="40">
        <v>8131541</v>
      </c>
      <c r="AP40" s="40">
        <v>1393986</v>
      </c>
      <c r="AQ40" s="60">
        <v>996429977</v>
      </c>
      <c r="AR40" s="40">
        <v>3167479128</v>
      </c>
      <c r="AS40" s="40">
        <v>5786694739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1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67FC-9B63-4AA8-B212-3DDA2C460D92}">
  <sheetPr>
    <tabColor theme="5"/>
  </sheetPr>
  <dimension ref="A1:AT40"/>
  <sheetViews>
    <sheetView zoomScaleNormal="100" workbookViewId="0">
      <pane xSplit="2" ySplit="6" topLeftCell="C36" activePane="bottomRight" state="frozen"/>
      <selection activeCell="A2" sqref="A2"/>
      <selection pane="topRight" activeCell="A2" sqref="A2"/>
      <selection pane="bottomLeft" activeCell="A2" sqref="A2"/>
      <selection pane="bottomRight" activeCell="C44" sqref="C44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B3" s="2"/>
    </row>
    <row r="4" spans="1:45" s="11" customFormat="1" ht="13.5" customHeight="1">
      <c r="A4" s="21"/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34" t="s">
        <v>50</v>
      </c>
      <c r="J5" s="34" t="s">
        <v>51</v>
      </c>
      <c r="K5" s="34" t="s">
        <v>52</v>
      </c>
      <c r="L5" s="34" t="s">
        <v>53</v>
      </c>
      <c r="M5" s="34" t="s">
        <v>55</v>
      </c>
      <c r="N5" s="34" t="s">
        <v>57</v>
      </c>
      <c r="O5" s="34" t="s">
        <v>59</v>
      </c>
      <c r="P5" s="34" t="s">
        <v>60</v>
      </c>
      <c r="Q5" s="34" t="s">
        <v>61</v>
      </c>
      <c r="R5" s="34" t="s">
        <v>63</v>
      </c>
      <c r="S5" s="34" t="s">
        <v>65</v>
      </c>
      <c r="T5" s="34" t="s">
        <v>66</v>
      </c>
      <c r="U5" s="34" t="s">
        <v>68</v>
      </c>
      <c r="V5" s="34" t="s">
        <v>69</v>
      </c>
      <c r="W5" s="34" t="s">
        <v>71</v>
      </c>
      <c r="X5" s="34" t="s">
        <v>72</v>
      </c>
      <c r="Y5" s="34" t="s">
        <v>73</v>
      </c>
      <c r="Z5" s="34" t="s">
        <v>74</v>
      </c>
      <c r="AA5" s="34" t="s">
        <v>75</v>
      </c>
      <c r="AB5" s="34" t="s">
        <v>77</v>
      </c>
      <c r="AC5" s="34" t="s">
        <v>78</v>
      </c>
      <c r="AD5" s="34" t="s">
        <v>79</v>
      </c>
      <c r="AE5" s="34" t="s">
        <v>81</v>
      </c>
      <c r="AF5" s="34" t="s">
        <v>82</v>
      </c>
      <c r="AG5" s="34" t="s">
        <v>84</v>
      </c>
      <c r="AH5" s="34" t="s">
        <v>86</v>
      </c>
      <c r="AI5" s="34" t="s">
        <v>88</v>
      </c>
      <c r="AJ5" s="35" t="s">
        <v>98</v>
      </c>
      <c r="AK5" s="36" t="s">
        <v>99</v>
      </c>
      <c r="AL5" s="36" t="s">
        <v>100</v>
      </c>
      <c r="AM5" s="36" t="s">
        <v>101</v>
      </c>
      <c r="AN5" s="36" t="s">
        <v>102</v>
      </c>
      <c r="AO5" s="36" t="s">
        <v>103</v>
      </c>
      <c r="AP5" s="36" t="s">
        <v>104</v>
      </c>
      <c r="AQ5" s="36" t="s">
        <v>105</v>
      </c>
      <c r="AR5" s="43" t="s">
        <v>106</v>
      </c>
      <c r="AS5" s="43" t="s">
        <v>107</v>
      </c>
    </row>
    <row r="6" spans="1:45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51" t="s">
        <v>8</v>
      </c>
      <c r="J6" s="51" t="s">
        <v>9</v>
      </c>
      <c r="K6" s="51" t="s">
        <v>10</v>
      </c>
      <c r="L6" s="51" t="s">
        <v>54</v>
      </c>
      <c r="M6" s="51" t="s">
        <v>56</v>
      </c>
      <c r="N6" s="51" t="s">
        <v>58</v>
      </c>
      <c r="O6" s="51" t="s">
        <v>11</v>
      </c>
      <c r="P6" s="51" t="s">
        <v>12</v>
      </c>
      <c r="Q6" s="51" t="s">
        <v>62</v>
      </c>
      <c r="R6" s="51" t="s">
        <v>64</v>
      </c>
      <c r="S6" s="51" t="s">
        <v>13</v>
      </c>
      <c r="T6" s="51" t="s">
        <v>67</v>
      </c>
      <c r="U6" s="51" t="s">
        <v>14</v>
      </c>
      <c r="V6" s="51" t="s">
        <v>70</v>
      </c>
      <c r="W6" s="51" t="s">
        <v>42</v>
      </c>
      <c r="X6" s="51" t="s">
        <v>15</v>
      </c>
      <c r="Y6" s="51" t="s">
        <v>16</v>
      </c>
      <c r="Z6" s="51" t="s">
        <v>17</v>
      </c>
      <c r="AA6" s="51" t="s">
        <v>76</v>
      </c>
      <c r="AB6" s="51" t="s">
        <v>43</v>
      </c>
      <c r="AC6" s="51" t="s">
        <v>18</v>
      </c>
      <c r="AD6" s="51" t="s">
        <v>80</v>
      </c>
      <c r="AE6" s="51" t="s">
        <v>19</v>
      </c>
      <c r="AF6" s="51" t="s">
        <v>83</v>
      </c>
      <c r="AG6" s="51" t="s">
        <v>85</v>
      </c>
      <c r="AH6" s="51" t="s">
        <v>87</v>
      </c>
      <c r="AI6" s="51" t="s">
        <v>89</v>
      </c>
      <c r="AJ6" s="23" t="s">
        <v>26</v>
      </c>
      <c r="AK6" s="49" t="s">
        <v>38</v>
      </c>
      <c r="AL6" s="20" t="s">
        <v>27</v>
      </c>
      <c r="AM6" s="20" t="s">
        <v>28</v>
      </c>
      <c r="AN6" s="20" t="s">
        <v>29</v>
      </c>
      <c r="AO6" s="20" t="s">
        <v>30</v>
      </c>
      <c r="AP6" s="20" t="s">
        <v>31</v>
      </c>
      <c r="AQ6" s="20" t="s">
        <v>32</v>
      </c>
      <c r="AR6" s="24" t="s">
        <v>33</v>
      </c>
      <c r="AS6" s="24" t="s">
        <v>34</v>
      </c>
    </row>
    <row r="7" spans="1:45" ht="13.5" customHeight="1">
      <c r="A7" s="44" t="s">
        <v>44</v>
      </c>
      <c r="B7" s="15" t="s">
        <v>2</v>
      </c>
      <c r="C7" s="52">
        <v>485806</v>
      </c>
      <c r="D7" s="52">
        <v>4</v>
      </c>
      <c r="E7" s="52">
        <v>10269411</v>
      </c>
      <c r="F7" s="52">
        <v>225767</v>
      </c>
      <c r="G7" s="52">
        <v>384167</v>
      </c>
      <c r="H7" s="52">
        <v>0</v>
      </c>
      <c r="I7" s="52">
        <v>770896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129</v>
      </c>
      <c r="Q7" s="52">
        <v>2201</v>
      </c>
      <c r="R7" s="52">
        <v>6172</v>
      </c>
      <c r="S7" s="52">
        <v>0</v>
      </c>
      <c r="T7" s="52">
        <v>0</v>
      </c>
      <c r="U7" s="52">
        <v>39533</v>
      </c>
      <c r="V7" s="52">
        <v>2585</v>
      </c>
      <c r="W7" s="52">
        <v>0</v>
      </c>
      <c r="X7" s="52">
        <v>785607</v>
      </c>
      <c r="Y7" s="52">
        <v>0</v>
      </c>
      <c r="Z7" s="52">
        <v>0</v>
      </c>
      <c r="AA7" s="52">
        <v>0</v>
      </c>
      <c r="AB7" s="52">
        <v>4107</v>
      </c>
      <c r="AC7" s="52">
        <v>30</v>
      </c>
      <c r="AD7" s="52">
        <v>18414</v>
      </c>
      <c r="AE7" s="52">
        <v>3448</v>
      </c>
      <c r="AF7" s="52">
        <v>104448</v>
      </c>
      <c r="AG7" s="52">
        <v>1472</v>
      </c>
      <c r="AH7" s="52">
        <v>0</v>
      </c>
      <c r="AI7" s="52">
        <v>0</v>
      </c>
      <c r="AJ7" s="18">
        <v>13104197</v>
      </c>
      <c r="AK7" s="52">
        <v>3891020</v>
      </c>
      <c r="AL7" s="52">
        <v>0</v>
      </c>
      <c r="AM7" s="52">
        <v>78554</v>
      </c>
      <c r="AN7" s="52">
        <v>25</v>
      </c>
      <c r="AO7" s="52">
        <v>-124101</v>
      </c>
      <c r="AP7" s="52">
        <v>0</v>
      </c>
      <c r="AQ7" s="52">
        <v>0</v>
      </c>
      <c r="AR7" s="19">
        <v>3845498</v>
      </c>
      <c r="AS7" s="19">
        <v>16949695</v>
      </c>
    </row>
    <row r="8" spans="1:45" ht="13.5" customHeight="1">
      <c r="A8" s="44" t="s">
        <v>45</v>
      </c>
      <c r="B8" s="15" t="s">
        <v>3</v>
      </c>
      <c r="C8" s="52">
        <v>0</v>
      </c>
      <c r="D8" s="52">
        <v>0</v>
      </c>
      <c r="E8" s="52">
        <v>6933</v>
      </c>
      <c r="F8" s="52">
        <v>1045</v>
      </c>
      <c r="G8" s="52">
        <v>23183</v>
      </c>
      <c r="H8" s="52">
        <v>107955161</v>
      </c>
      <c r="I8" s="52">
        <v>8306004</v>
      </c>
      <c r="J8" s="52">
        <v>1258710</v>
      </c>
      <c r="K8" s="52">
        <v>33003679</v>
      </c>
      <c r="L8" s="52">
        <v>5139</v>
      </c>
      <c r="M8" s="52">
        <v>2774</v>
      </c>
      <c r="N8" s="52">
        <v>2583</v>
      </c>
      <c r="O8" s="52">
        <v>3102</v>
      </c>
      <c r="P8" s="52">
        <v>3589</v>
      </c>
      <c r="Q8" s="52">
        <v>1221</v>
      </c>
      <c r="R8" s="52">
        <v>58668</v>
      </c>
      <c r="S8" s="52">
        <v>68465917</v>
      </c>
      <c r="T8" s="52">
        <v>0</v>
      </c>
      <c r="U8" s="52">
        <v>29841</v>
      </c>
      <c r="V8" s="52">
        <v>0</v>
      </c>
      <c r="W8" s="52">
        <v>0</v>
      </c>
      <c r="X8" s="52">
        <v>2345</v>
      </c>
      <c r="Y8" s="52">
        <v>0</v>
      </c>
      <c r="Z8" s="52">
        <v>0</v>
      </c>
      <c r="AA8" s="52">
        <v>0</v>
      </c>
      <c r="AB8" s="52">
        <v>11233</v>
      </c>
      <c r="AC8" s="52">
        <v>0</v>
      </c>
      <c r="AD8" s="52">
        <v>16</v>
      </c>
      <c r="AE8" s="52">
        <v>0</v>
      </c>
      <c r="AF8" s="52">
        <v>0</v>
      </c>
      <c r="AG8" s="52">
        <v>0</v>
      </c>
      <c r="AH8" s="52">
        <v>0</v>
      </c>
      <c r="AI8" s="52">
        <v>0</v>
      </c>
      <c r="AJ8" s="18">
        <v>219141143</v>
      </c>
      <c r="AK8" s="52">
        <v>15221</v>
      </c>
      <c r="AL8" s="52">
        <v>0</v>
      </c>
      <c r="AM8" s="52">
        <v>0</v>
      </c>
      <c r="AN8" s="52">
        <v>0</v>
      </c>
      <c r="AO8" s="52">
        <v>-1024984</v>
      </c>
      <c r="AP8" s="52">
        <v>0</v>
      </c>
      <c r="AQ8" s="52">
        <v>0</v>
      </c>
      <c r="AR8" s="19">
        <v>-1009763</v>
      </c>
      <c r="AS8" s="19">
        <v>218131380</v>
      </c>
    </row>
    <row r="9" spans="1:45" ht="13.5" customHeight="1">
      <c r="A9" s="44" t="s">
        <v>46</v>
      </c>
      <c r="B9" s="15" t="s">
        <v>4</v>
      </c>
      <c r="C9" s="52">
        <v>217039</v>
      </c>
      <c r="D9" s="52">
        <v>0</v>
      </c>
      <c r="E9" s="52">
        <v>14132546</v>
      </c>
      <c r="F9" s="52">
        <v>1181363</v>
      </c>
      <c r="G9" s="52">
        <v>19998</v>
      </c>
      <c r="H9" s="52">
        <v>39673</v>
      </c>
      <c r="I9" s="52">
        <v>600263</v>
      </c>
      <c r="J9" s="52">
        <v>0</v>
      </c>
      <c r="K9" s="52">
        <v>0</v>
      </c>
      <c r="L9" s="52">
        <v>1</v>
      </c>
      <c r="M9" s="52">
        <v>152</v>
      </c>
      <c r="N9" s="52">
        <v>0</v>
      </c>
      <c r="O9" s="52">
        <v>1</v>
      </c>
      <c r="P9" s="52">
        <v>0</v>
      </c>
      <c r="Q9" s="52">
        <v>154</v>
      </c>
      <c r="R9" s="52">
        <v>10470</v>
      </c>
      <c r="S9" s="52">
        <v>547967</v>
      </c>
      <c r="T9" s="52">
        <v>0</v>
      </c>
      <c r="U9" s="52">
        <v>0</v>
      </c>
      <c r="V9" s="52">
        <v>25522</v>
      </c>
      <c r="W9" s="52">
        <v>4403</v>
      </c>
      <c r="X9" s="52">
        <v>9587420</v>
      </c>
      <c r="Y9" s="52">
        <v>2438</v>
      </c>
      <c r="Z9" s="52">
        <v>18</v>
      </c>
      <c r="AA9" s="52">
        <v>73</v>
      </c>
      <c r="AB9" s="52">
        <v>96884</v>
      </c>
      <c r="AC9" s="52">
        <v>15200</v>
      </c>
      <c r="AD9" s="52">
        <v>3950</v>
      </c>
      <c r="AE9" s="52">
        <v>359</v>
      </c>
      <c r="AF9" s="52">
        <v>646579</v>
      </c>
      <c r="AG9" s="52">
        <v>152751</v>
      </c>
      <c r="AH9" s="52">
        <v>61</v>
      </c>
      <c r="AI9" s="52">
        <v>0</v>
      </c>
      <c r="AJ9" s="18">
        <v>27285285</v>
      </c>
      <c r="AK9" s="52">
        <v>19637184</v>
      </c>
      <c r="AL9" s="52">
        <v>0</v>
      </c>
      <c r="AM9" s="52">
        <v>0</v>
      </c>
      <c r="AN9" s="52">
        <v>0</v>
      </c>
      <c r="AO9" s="52">
        <v>-34940</v>
      </c>
      <c r="AP9" s="52">
        <v>0</v>
      </c>
      <c r="AQ9" s="52">
        <v>34138</v>
      </c>
      <c r="AR9" s="19">
        <v>19636382</v>
      </c>
      <c r="AS9" s="19">
        <v>46921667</v>
      </c>
    </row>
    <row r="10" spans="1:45" ht="13.5" customHeight="1">
      <c r="A10" s="44" t="s">
        <v>47</v>
      </c>
      <c r="B10" s="15" t="s">
        <v>5</v>
      </c>
      <c r="C10" s="52">
        <v>174347</v>
      </c>
      <c r="D10" s="52">
        <v>0</v>
      </c>
      <c r="E10" s="52">
        <v>21486</v>
      </c>
      <c r="F10" s="52">
        <v>12494660</v>
      </c>
      <c r="G10" s="52">
        <v>141424</v>
      </c>
      <c r="H10" s="52">
        <v>234</v>
      </c>
      <c r="I10" s="52">
        <v>603928</v>
      </c>
      <c r="J10" s="52">
        <v>17137</v>
      </c>
      <c r="K10" s="52">
        <v>2780</v>
      </c>
      <c r="L10" s="52">
        <v>18756</v>
      </c>
      <c r="M10" s="52">
        <v>131172</v>
      </c>
      <c r="N10" s="52">
        <v>59861</v>
      </c>
      <c r="O10" s="52">
        <v>28893</v>
      </c>
      <c r="P10" s="52">
        <v>260543</v>
      </c>
      <c r="Q10" s="52">
        <v>292775</v>
      </c>
      <c r="R10" s="52">
        <v>214560</v>
      </c>
      <c r="S10" s="52">
        <v>2345</v>
      </c>
      <c r="T10" s="52">
        <v>28025</v>
      </c>
      <c r="U10" s="52">
        <v>105174</v>
      </c>
      <c r="V10" s="52">
        <v>538598</v>
      </c>
      <c r="W10" s="52">
        <v>151228</v>
      </c>
      <c r="X10" s="52">
        <v>31842</v>
      </c>
      <c r="Y10" s="52">
        <v>3202</v>
      </c>
      <c r="Z10" s="52">
        <v>6638</v>
      </c>
      <c r="AA10" s="52">
        <v>1880</v>
      </c>
      <c r="AB10" s="52">
        <v>74362</v>
      </c>
      <c r="AC10" s="52">
        <v>58739</v>
      </c>
      <c r="AD10" s="52">
        <v>43343</v>
      </c>
      <c r="AE10" s="52">
        <v>1459</v>
      </c>
      <c r="AF10" s="52">
        <v>80577</v>
      </c>
      <c r="AG10" s="52">
        <v>17470</v>
      </c>
      <c r="AH10" s="52">
        <v>27532</v>
      </c>
      <c r="AI10" s="52">
        <v>0</v>
      </c>
      <c r="AJ10" s="18">
        <v>15634970</v>
      </c>
      <c r="AK10" s="52">
        <v>22332792</v>
      </c>
      <c r="AL10" s="52">
        <v>0</v>
      </c>
      <c r="AM10" s="52">
        <v>39967</v>
      </c>
      <c r="AN10" s="52">
        <v>14749</v>
      </c>
      <c r="AO10" s="52">
        <v>144419</v>
      </c>
      <c r="AP10" s="52">
        <v>0</v>
      </c>
      <c r="AQ10" s="52">
        <v>545520</v>
      </c>
      <c r="AR10" s="19">
        <v>23077447</v>
      </c>
      <c r="AS10" s="19">
        <v>38712417</v>
      </c>
    </row>
    <row r="11" spans="1:45" ht="13.5" customHeight="1">
      <c r="A11" s="44" t="s">
        <v>48</v>
      </c>
      <c r="B11" s="15" t="s">
        <v>6</v>
      </c>
      <c r="C11" s="52">
        <v>7878</v>
      </c>
      <c r="D11" s="52">
        <v>0</v>
      </c>
      <c r="E11" s="52">
        <v>191272</v>
      </c>
      <c r="F11" s="52">
        <v>196964</v>
      </c>
      <c r="G11" s="52">
        <v>4958971</v>
      </c>
      <c r="H11" s="52">
        <v>786</v>
      </c>
      <c r="I11" s="52">
        <v>142603</v>
      </c>
      <c r="J11" s="52">
        <v>38763</v>
      </c>
      <c r="K11" s="52">
        <v>8972</v>
      </c>
      <c r="L11" s="52">
        <v>78078</v>
      </c>
      <c r="M11" s="52">
        <v>149249</v>
      </c>
      <c r="N11" s="52">
        <v>87550</v>
      </c>
      <c r="O11" s="52">
        <v>21052</v>
      </c>
      <c r="P11" s="52">
        <v>22523</v>
      </c>
      <c r="Q11" s="52">
        <v>492175</v>
      </c>
      <c r="R11" s="52">
        <v>14371</v>
      </c>
      <c r="S11" s="52">
        <v>366563</v>
      </c>
      <c r="T11" s="52">
        <v>823</v>
      </c>
      <c r="U11" s="52">
        <v>1062856</v>
      </c>
      <c r="V11" s="52">
        <v>93547</v>
      </c>
      <c r="W11" s="52">
        <v>97844</v>
      </c>
      <c r="X11" s="52">
        <v>144017</v>
      </c>
      <c r="Y11" s="52">
        <v>96807</v>
      </c>
      <c r="Z11" s="52">
        <v>7682</v>
      </c>
      <c r="AA11" s="52">
        <v>1155</v>
      </c>
      <c r="AB11" s="52">
        <v>43992</v>
      </c>
      <c r="AC11" s="52">
        <v>17521</v>
      </c>
      <c r="AD11" s="52">
        <v>67204</v>
      </c>
      <c r="AE11" s="52">
        <v>10420</v>
      </c>
      <c r="AF11" s="52">
        <v>13359</v>
      </c>
      <c r="AG11" s="52">
        <v>39894</v>
      </c>
      <c r="AH11" s="52">
        <v>3034</v>
      </c>
      <c r="AI11" s="52">
        <v>0</v>
      </c>
      <c r="AJ11" s="18">
        <v>8477925</v>
      </c>
      <c r="AK11" s="52">
        <v>677764</v>
      </c>
      <c r="AL11" s="52">
        <v>0</v>
      </c>
      <c r="AM11" s="52">
        <v>0</v>
      </c>
      <c r="AN11" s="52">
        <v>0</v>
      </c>
      <c r="AO11" s="52">
        <v>34626</v>
      </c>
      <c r="AP11" s="52">
        <v>0</v>
      </c>
      <c r="AQ11" s="52">
        <v>0</v>
      </c>
      <c r="AR11" s="19">
        <v>712390</v>
      </c>
      <c r="AS11" s="19">
        <v>9190315</v>
      </c>
    </row>
    <row r="12" spans="1:45" ht="13.5" customHeight="1">
      <c r="A12" s="44" t="s">
        <v>49</v>
      </c>
      <c r="B12" s="15" t="s">
        <v>7</v>
      </c>
      <c r="C12" s="52">
        <v>37757</v>
      </c>
      <c r="D12" s="52">
        <v>1602</v>
      </c>
      <c r="E12" s="52">
        <v>42567</v>
      </c>
      <c r="F12" s="52">
        <v>68674</v>
      </c>
      <c r="G12" s="52">
        <v>67937</v>
      </c>
      <c r="H12" s="52">
        <v>3678754</v>
      </c>
      <c r="I12" s="52">
        <v>25346933</v>
      </c>
      <c r="J12" s="52">
        <v>151699</v>
      </c>
      <c r="K12" s="52">
        <v>213878</v>
      </c>
      <c r="L12" s="52">
        <v>78341</v>
      </c>
      <c r="M12" s="52">
        <v>31162</v>
      </c>
      <c r="N12" s="52">
        <v>45968</v>
      </c>
      <c r="O12" s="52">
        <v>30864</v>
      </c>
      <c r="P12" s="52">
        <v>64171</v>
      </c>
      <c r="Q12" s="52">
        <v>2031</v>
      </c>
      <c r="R12" s="52">
        <v>308039</v>
      </c>
      <c r="S12" s="52">
        <v>1641796</v>
      </c>
      <c r="T12" s="52">
        <v>12310</v>
      </c>
      <c r="U12" s="52">
        <v>20644</v>
      </c>
      <c r="V12" s="52">
        <v>666955</v>
      </c>
      <c r="W12" s="52">
        <v>8671116</v>
      </c>
      <c r="X12" s="52">
        <v>527023</v>
      </c>
      <c r="Y12" s="52">
        <v>10762</v>
      </c>
      <c r="Z12" s="52">
        <v>6497</v>
      </c>
      <c r="AA12" s="52">
        <v>5743</v>
      </c>
      <c r="AB12" s="52">
        <v>187182</v>
      </c>
      <c r="AC12" s="52">
        <v>24291</v>
      </c>
      <c r="AD12" s="52">
        <v>21693</v>
      </c>
      <c r="AE12" s="52">
        <v>414541</v>
      </c>
      <c r="AF12" s="52">
        <v>73957</v>
      </c>
      <c r="AG12" s="52">
        <v>11857</v>
      </c>
      <c r="AH12" s="52">
        <v>181330</v>
      </c>
      <c r="AI12" s="52">
        <v>0</v>
      </c>
      <c r="AJ12" s="18">
        <v>42648074</v>
      </c>
      <c r="AK12" s="52">
        <v>2351959</v>
      </c>
      <c r="AL12" s="52">
        <v>0</v>
      </c>
      <c r="AM12" s="52">
        <v>0</v>
      </c>
      <c r="AN12" s="52">
        <v>0</v>
      </c>
      <c r="AO12" s="52">
        <v>122942</v>
      </c>
      <c r="AP12" s="52">
        <v>0</v>
      </c>
      <c r="AQ12" s="52">
        <v>0</v>
      </c>
      <c r="AR12" s="19">
        <v>2474901</v>
      </c>
      <c r="AS12" s="19">
        <v>45122975</v>
      </c>
    </row>
    <row r="13" spans="1:45" ht="13.5" customHeight="1">
      <c r="A13" s="44" t="s">
        <v>50</v>
      </c>
      <c r="B13" s="15" t="s">
        <v>8</v>
      </c>
      <c r="C13" s="52">
        <v>823131</v>
      </c>
      <c r="D13" s="52">
        <v>1746</v>
      </c>
      <c r="E13" s="52">
        <v>468348</v>
      </c>
      <c r="F13" s="52">
        <v>1384234</v>
      </c>
      <c r="G13" s="52">
        <v>290277</v>
      </c>
      <c r="H13" s="52">
        <v>702283</v>
      </c>
      <c r="I13" s="52">
        <v>53919657</v>
      </c>
      <c r="J13" s="52">
        <v>791765</v>
      </c>
      <c r="K13" s="52">
        <v>1457010</v>
      </c>
      <c r="L13" s="52">
        <v>1146298</v>
      </c>
      <c r="M13" s="52">
        <v>10310680</v>
      </c>
      <c r="N13" s="52">
        <v>7787804</v>
      </c>
      <c r="O13" s="52">
        <v>517828</v>
      </c>
      <c r="P13" s="52">
        <v>2199954</v>
      </c>
      <c r="Q13" s="52">
        <v>470344</v>
      </c>
      <c r="R13" s="52">
        <v>195467</v>
      </c>
      <c r="S13" s="52">
        <v>32359</v>
      </c>
      <c r="T13" s="52">
        <v>213275</v>
      </c>
      <c r="U13" s="52">
        <v>370668</v>
      </c>
      <c r="V13" s="52">
        <v>313587</v>
      </c>
      <c r="W13" s="52">
        <v>199697</v>
      </c>
      <c r="X13" s="52">
        <v>122969</v>
      </c>
      <c r="Y13" s="52">
        <v>47614</v>
      </c>
      <c r="Z13" s="52">
        <v>1970</v>
      </c>
      <c r="AA13" s="52">
        <v>237</v>
      </c>
      <c r="AB13" s="52">
        <v>932094</v>
      </c>
      <c r="AC13" s="52">
        <v>158761</v>
      </c>
      <c r="AD13" s="52">
        <v>9449</v>
      </c>
      <c r="AE13" s="52">
        <v>24208</v>
      </c>
      <c r="AF13" s="52">
        <v>9505479</v>
      </c>
      <c r="AG13" s="52">
        <v>27678</v>
      </c>
      <c r="AH13" s="52">
        <v>465733</v>
      </c>
      <c r="AI13" s="52">
        <v>82</v>
      </c>
      <c r="AJ13" s="18">
        <v>94892686</v>
      </c>
      <c r="AK13" s="52">
        <v>9275297</v>
      </c>
      <c r="AL13" s="52">
        <v>0</v>
      </c>
      <c r="AM13" s="52">
        <v>0</v>
      </c>
      <c r="AN13" s="52">
        <v>0</v>
      </c>
      <c r="AO13" s="52">
        <v>786835</v>
      </c>
      <c r="AP13" s="52">
        <v>0</v>
      </c>
      <c r="AQ13" s="52">
        <v>1521940</v>
      </c>
      <c r="AR13" s="19">
        <v>11584072</v>
      </c>
      <c r="AS13" s="19">
        <v>106476758</v>
      </c>
    </row>
    <row r="14" spans="1:45" ht="13.5" customHeight="1">
      <c r="A14" s="44" t="s">
        <v>51</v>
      </c>
      <c r="B14" s="15" t="s">
        <v>9</v>
      </c>
      <c r="C14" s="52">
        <v>268</v>
      </c>
      <c r="D14" s="52">
        <v>9</v>
      </c>
      <c r="E14" s="52">
        <v>38333</v>
      </c>
      <c r="F14" s="52">
        <v>11626</v>
      </c>
      <c r="G14" s="52">
        <v>1622</v>
      </c>
      <c r="H14" s="52">
        <v>25759</v>
      </c>
      <c r="I14" s="52">
        <v>586505</v>
      </c>
      <c r="J14" s="52">
        <v>1596074</v>
      </c>
      <c r="K14" s="52">
        <v>437502</v>
      </c>
      <c r="L14" s="52">
        <v>103158</v>
      </c>
      <c r="M14" s="52">
        <v>723481</v>
      </c>
      <c r="N14" s="52">
        <v>913729</v>
      </c>
      <c r="O14" s="52">
        <v>156003</v>
      </c>
      <c r="P14" s="52">
        <v>575874</v>
      </c>
      <c r="Q14" s="52">
        <v>64422</v>
      </c>
      <c r="R14" s="52">
        <v>69580</v>
      </c>
      <c r="S14" s="52">
        <v>10357</v>
      </c>
      <c r="T14" s="52">
        <v>1262</v>
      </c>
      <c r="U14" s="52">
        <v>2035888</v>
      </c>
      <c r="V14" s="52">
        <v>11889</v>
      </c>
      <c r="W14" s="52">
        <v>1409</v>
      </c>
      <c r="X14" s="52">
        <v>80193</v>
      </c>
      <c r="Y14" s="52">
        <v>12</v>
      </c>
      <c r="Z14" s="52">
        <v>164</v>
      </c>
      <c r="AA14" s="52">
        <v>60</v>
      </c>
      <c r="AB14" s="52">
        <v>118951</v>
      </c>
      <c r="AC14" s="52">
        <v>55</v>
      </c>
      <c r="AD14" s="52">
        <v>494</v>
      </c>
      <c r="AE14" s="52">
        <v>956</v>
      </c>
      <c r="AF14" s="52">
        <v>5107</v>
      </c>
      <c r="AG14" s="52">
        <v>18</v>
      </c>
      <c r="AH14" s="52">
        <v>21458</v>
      </c>
      <c r="AI14" s="52">
        <v>0</v>
      </c>
      <c r="AJ14" s="18">
        <v>7592218</v>
      </c>
      <c r="AK14" s="52">
        <v>250632</v>
      </c>
      <c r="AL14" s="52">
        <v>0</v>
      </c>
      <c r="AM14" s="52">
        <v>0</v>
      </c>
      <c r="AN14" s="52">
        <v>0</v>
      </c>
      <c r="AO14" s="52">
        <v>28484</v>
      </c>
      <c r="AP14" s="52">
        <v>0</v>
      </c>
      <c r="AQ14" s="52">
        <v>0</v>
      </c>
      <c r="AR14" s="19">
        <v>279116</v>
      </c>
      <c r="AS14" s="19">
        <v>7871334</v>
      </c>
    </row>
    <row r="15" spans="1:45" ht="13.5" customHeight="1">
      <c r="A15" s="44" t="s">
        <v>52</v>
      </c>
      <c r="B15" s="15" t="s">
        <v>10</v>
      </c>
      <c r="C15" s="52">
        <v>408</v>
      </c>
      <c r="D15" s="52">
        <v>7</v>
      </c>
      <c r="E15" s="52">
        <v>0</v>
      </c>
      <c r="F15" s="52">
        <v>4713</v>
      </c>
      <c r="G15" s="52">
        <v>423</v>
      </c>
      <c r="H15" s="52">
        <v>14064</v>
      </c>
      <c r="I15" s="52">
        <v>1955775</v>
      </c>
      <c r="J15" s="52">
        <v>22979</v>
      </c>
      <c r="K15" s="52">
        <v>28789189</v>
      </c>
      <c r="L15" s="52">
        <v>4180771</v>
      </c>
      <c r="M15" s="52">
        <v>2708037</v>
      </c>
      <c r="N15" s="52">
        <v>4376195</v>
      </c>
      <c r="O15" s="52">
        <v>1504504</v>
      </c>
      <c r="P15" s="52">
        <v>6067366</v>
      </c>
      <c r="Q15" s="52">
        <v>261104</v>
      </c>
      <c r="R15" s="52">
        <v>82173</v>
      </c>
      <c r="S15" s="52">
        <v>35069</v>
      </c>
      <c r="T15" s="52">
        <v>8142</v>
      </c>
      <c r="U15" s="52">
        <v>2165701</v>
      </c>
      <c r="V15" s="52">
        <v>11</v>
      </c>
      <c r="W15" s="52">
        <v>117848</v>
      </c>
      <c r="X15" s="52">
        <v>0</v>
      </c>
      <c r="Y15" s="52">
        <v>0</v>
      </c>
      <c r="Z15" s="52">
        <v>0</v>
      </c>
      <c r="AA15" s="52">
        <v>2</v>
      </c>
      <c r="AB15" s="52">
        <v>56161</v>
      </c>
      <c r="AC15" s="52">
        <v>216</v>
      </c>
      <c r="AD15" s="52">
        <v>20</v>
      </c>
      <c r="AE15" s="52">
        <v>0</v>
      </c>
      <c r="AF15" s="52">
        <v>192309</v>
      </c>
      <c r="AG15" s="52">
        <v>0</v>
      </c>
      <c r="AH15" s="52">
        <v>309</v>
      </c>
      <c r="AI15" s="52">
        <v>0</v>
      </c>
      <c r="AJ15" s="18">
        <v>52543496</v>
      </c>
      <c r="AK15" s="52">
        <v>10179</v>
      </c>
      <c r="AL15" s="52">
        <v>0</v>
      </c>
      <c r="AM15" s="52">
        <v>0</v>
      </c>
      <c r="AN15" s="52">
        <v>0</v>
      </c>
      <c r="AO15" s="52">
        <v>-197121</v>
      </c>
      <c r="AP15" s="52">
        <v>33102</v>
      </c>
      <c r="AQ15" s="52">
        <v>0</v>
      </c>
      <c r="AR15" s="19">
        <v>-153840</v>
      </c>
      <c r="AS15" s="19">
        <v>52389656</v>
      </c>
    </row>
    <row r="16" spans="1:45" ht="13.5" customHeight="1">
      <c r="A16" s="44" t="s">
        <v>53</v>
      </c>
      <c r="B16" s="15" t="s">
        <v>54</v>
      </c>
      <c r="C16" s="52">
        <v>1615</v>
      </c>
      <c r="D16" s="52">
        <v>5465</v>
      </c>
      <c r="E16" s="52">
        <v>153937</v>
      </c>
      <c r="F16" s="52">
        <v>131663</v>
      </c>
      <c r="G16" s="52">
        <v>14605</v>
      </c>
      <c r="H16" s="52">
        <v>27749</v>
      </c>
      <c r="I16" s="52">
        <v>347215</v>
      </c>
      <c r="J16" s="52">
        <v>80661</v>
      </c>
      <c r="K16" s="52">
        <v>92724</v>
      </c>
      <c r="L16" s="52">
        <v>2667595</v>
      </c>
      <c r="M16" s="52">
        <v>701714</v>
      </c>
      <c r="N16" s="52">
        <v>298453</v>
      </c>
      <c r="O16" s="52">
        <v>784745</v>
      </c>
      <c r="P16" s="52">
        <v>1813669</v>
      </c>
      <c r="Q16" s="52">
        <v>163305</v>
      </c>
      <c r="R16" s="52">
        <v>157203</v>
      </c>
      <c r="S16" s="52">
        <v>70256</v>
      </c>
      <c r="T16" s="52">
        <v>1812</v>
      </c>
      <c r="U16" s="52">
        <v>615883</v>
      </c>
      <c r="V16" s="52">
        <v>81840</v>
      </c>
      <c r="W16" s="52">
        <v>346465</v>
      </c>
      <c r="X16" s="52">
        <v>220397</v>
      </c>
      <c r="Y16" s="52">
        <v>3027</v>
      </c>
      <c r="Z16" s="52">
        <v>5250</v>
      </c>
      <c r="AA16" s="52">
        <v>2117</v>
      </c>
      <c r="AB16" s="52">
        <v>140927</v>
      </c>
      <c r="AC16" s="52">
        <v>12213</v>
      </c>
      <c r="AD16" s="52">
        <v>159772</v>
      </c>
      <c r="AE16" s="52">
        <v>8294</v>
      </c>
      <c r="AF16" s="52">
        <v>2317</v>
      </c>
      <c r="AG16" s="52">
        <v>2422</v>
      </c>
      <c r="AH16" s="52">
        <v>25019</v>
      </c>
      <c r="AI16" s="52">
        <v>0</v>
      </c>
      <c r="AJ16" s="18">
        <v>9140329</v>
      </c>
      <c r="AK16" s="52">
        <v>952367</v>
      </c>
      <c r="AL16" s="52">
        <v>0</v>
      </c>
      <c r="AM16" s="52">
        <v>222504</v>
      </c>
      <c r="AN16" s="52">
        <v>779287</v>
      </c>
      <c r="AO16" s="52">
        <v>24398</v>
      </c>
      <c r="AP16" s="52">
        <v>0</v>
      </c>
      <c r="AQ16" s="52">
        <v>0</v>
      </c>
      <c r="AR16" s="19">
        <v>1978556</v>
      </c>
      <c r="AS16" s="19">
        <v>11118885</v>
      </c>
    </row>
    <row r="17" spans="1:45" ht="13.5" customHeight="1">
      <c r="A17" s="44" t="s">
        <v>55</v>
      </c>
      <c r="B17" s="15" t="s">
        <v>56</v>
      </c>
      <c r="C17" s="52">
        <v>762</v>
      </c>
      <c r="D17" s="52">
        <v>26</v>
      </c>
      <c r="E17" s="52">
        <v>623</v>
      </c>
      <c r="F17" s="52">
        <v>734</v>
      </c>
      <c r="G17" s="52">
        <v>7416</v>
      </c>
      <c r="H17" s="52">
        <v>10035</v>
      </c>
      <c r="I17" s="52">
        <v>107718</v>
      </c>
      <c r="J17" s="52">
        <v>6852</v>
      </c>
      <c r="K17" s="52">
        <v>16547</v>
      </c>
      <c r="L17" s="52">
        <v>30961</v>
      </c>
      <c r="M17" s="52">
        <v>65367442</v>
      </c>
      <c r="N17" s="52">
        <v>5974518</v>
      </c>
      <c r="O17" s="52">
        <v>2485204</v>
      </c>
      <c r="P17" s="52">
        <v>5186906</v>
      </c>
      <c r="Q17" s="52">
        <v>12462</v>
      </c>
      <c r="R17" s="52">
        <v>181956</v>
      </c>
      <c r="S17" s="52">
        <v>121105</v>
      </c>
      <c r="T17" s="52">
        <v>7152</v>
      </c>
      <c r="U17" s="52">
        <v>288672</v>
      </c>
      <c r="V17" s="52">
        <v>126164</v>
      </c>
      <c r="W17" s="52">
        <v>182130</v>
      </c>
      <c r="X17" s="52">
        <v>19704</v>
      </c>
      <c r="Y17" s="52">
        <v>4323084</v>
      </c>
      <c r="Z17" s="52">
        <v>121828</v>
      </c>
      <c r="AA17" s="52">
        <v>25220</v>
      </c>
      <c r="AB17" s="52">
        <v>3108748</v>
      </c>
      <c r="AC17" s="52">
        <v>94493</v>
      </c>
      <c r="AD17" s="52">
        <v>364092</v>
      </c>
      <c r="AE17" s="52">
        <v>491317</v>
      </c>
      <c r="AF17" s="52">
        <v>2475979</v>
      </c>
      <c r="AG17" s="52">
        <v>24866</v>
      </c>
      <c r="AH17" s="52">
        <v>425583</v>
      </c>
      <c r="AI17" s="52">
        <v>0</v>
      </c>
      <c r="AJ17" s="18">
        <v>91590299</v>
      </c>
      <c r="AK17" s="52">
        <v>15209720</v>
      </c>
      <c r="AL17" s="52">
        <v>0</v>
      </c>
      <c r="AM17" s="52">
        <v>18979967</v>
      </c>
      <c r="AN17" s="52">
        <v>2617685</v>
      </c>
      <c r="AO17" s="52">
        <v>115533</v>
      </c>
      <c r="AP17" s="52">
        <v>0</v>
      </c>
      <c r="AQ17" s="52">
        <v>298642</v>
      </c>
      <c r="AR17" s="19">
        <v>37221547</v>
      </c>
      <c r="AS17" s="19">
        <v>128811846</v>
      </c>
    </row>
    <row r="18" spans="1:45" ht="13.5" customHeight="1">
      <c r="A18" s="44" t="s">
        <v>57</v>
      </c>
      <c r="B18" s="15" t="s">
        <v>58</v>
      </c>
      <c r="C18" s="52">
        <v>236</v>
      </c>
      <c r="D18" s="52">
        <v>19</v>
      </c>
      <c r="E18" s="52">
        <v>160</v>
      </c>
      <c r="F18" s="52">
        <v>2346</v>
      </c>
      <c r="G18" s="52">
        <v>339</v>
      </c>
      <c r="H18" s="52">
        <v>1371</v>
      </c>
      <c r="I18" s="52">
        <v>62492</v>
      </c>
      <c r="J18" s="52">
        <v>3460</v>
      </c>
      <c r="K18" s="52">
        <v>76599</v>
      </c>
      <c r="L18" s="52">
        <v>88776</v>
      </c>
      <c r="M18" s="52">
        <v>3919932</v>
      </c>
      <c r="N18" s="52">
        <v>16746521</v>
      </c>
      <c r="O18" s="52">
        <v>1792070</v>
      </c>
      <c r="P18" s="52">
        <v>6628086</v>
      </c>
      <c r="Q18" s="52">
        <v>13138</v>
      </c>
      <c r="R18" s="52">
        <v>160103</v>
      </c>
      <c r="S18" s="52">
        <v>440442</v>
      </c>
      <c r="T18" s="52">
        <v>1109</v>
      </c>
      <c r="U18" s="52">
        <v>1674617</v>
      </c>
      <c r="V18" s="52">
        <v>10277</v>
      </c>
      <c r="W18" s="52">
        <v>406298</v>
      </c>
      <c r="X18" s="52">
        <v>33543</v>
      </c>
      <c r="Y18" s="52">
        <v>61425</v>
      </c>
      <c r="Z18" s="52">
        <v>389</v>
      </c>
      <c r="AA18" s="52">
        <v>3898</v>
      </c>
      <c r="AB18" s="52">
        <v>337855</v>
      </c>
      <c r="AC18" s="52">
        <v>60004</v>
      </c>
      <c r="AD18" s="52">
        <v>88142</v>
      </c>
      <c r="AE18" s="52">
        <v>8015</v>
      </c>
      <c r="AF18" s="52">
        <v>30152</v>
      </c>
      <c r="AG18" s="52">
        <v>7288</v>
      </c>
      <c r="AH18" s="52">
        <v>597502</v>
      </c>
      <c r="AI18" s="52">
        <v>0</v>
      </c>
      <c r="AJ18" s="18">
        <v>33256604</v>
      </c>
      <c r="AK18" s="52">
        <v>4016959</v>
      </c>
      <c r="AL18" s="52">
        <v>0</v>
      </c>
      <c r="AM18" s="52">
        <v>4000926</v>
      </c>
      <c r="AN18" s="52">
        <v>87059</v>
      </c>
      <c r="AO18" s="52">
        <v>-84840</v>
      </c>
      <c r="AP18" s="52">
        <v>0</v>
      </c>
      <c r="AQ18" s="52">
        <v>20</v>
      </c>
      <c r="AR18" s="19">
        <v>8020124</v>
      </c>
      <c r="AS18" s="19">
        <v>41276728</v>
      </c>
    </row>
    <row r="19" spans="1:45" ht="13.5" customHeight="1">
      <c r="A19" s="44" t="s">
        <v>59</v>
      </c>
      <c r="B19" s="15" t="s">
        <v>11</v>
      </c>
      <c r="C19" s="52">
        <v>9955</v>
      </c>
      <c r="D19" s="52">
        <v>2959</v>
      </c>
      <c r="E19" s="52">
        <v>13054</v>
      </c>
      <c r="F19" s="52">
        <v>12140</v>
      </c>
      <c r="G19" s="52">
        <v>5589</v>
      </c>
      <c r="H19" s="52">
        <v>64805</v>
      </c>
      <c r="I19" s="52">
        <v>250393</v>
      </c>
      <c r="J19" s="52">
        <v>11014</v>
      </c>
      <c r="K19" s="52">
        <v>164831</v>
      </c>
      <c r="L19" s="52">
        <v>539882</v>
      </c>
      <c r="M19" s="52">
        <v>352360</v>
      </c>
      <c r="N19" s="52">
        <v>525895</v>
      </c>
      <c r="O19" s="52">
        <v>16829003</v>
      </c>
      <c r="P19" s="52">
        <v>3777609</v>
      </c>
      <c r="Q19" s="52">
        <v>4914</v>
      </c>
      <c r="R19" s="52">
        <v>493236</v>
      </c>
      <c r="S19" s="52">
        <v>267634</v>
      </c>
      <c r="T19" s="52">
        <v>42890</v>
      </c>
      <c r="U19" s="52">
        <v>1623069</v>
      </c>
      <c r="V19" s="52">
        <v>108161</v>
      </c>
      <c r="W19" s="52">
        <v>440576</v>
      </c>
      <c r="X19" s="52">
        <v>1062</v>
      </c>
      <c r="Y19" s="52">
        <v>17527</v>
      </c>
      <c r="Z19" s="52">
        <v>16005</v>
      </c>
      <c r="AA19" s="52">
        <v>5537</v>
      </c>
      <c r="AB19" s="52">
        <v>243479</v>
      </c>
      <c r="AC19" s="52">
        <v>31286</v>
      </c>
      <c r="AD19" s="52">
        <v>77285</v>
      </c>
      <c r="AE19" s="52">
        <v>3427</v>
      </c>
      <c r="AF19" s="52">
        <v>10141</v>
      </c>
      <c r="AG19" s="52">
        <v>1114</v>
      </c>
      <c r="AH19" s="52">
        <v>17822</v>
      </c>
      <c r="AI19" s="52">
        <v>0</v>
      </c>
      <c r="AJ19" s="18">
        <v>25964654</v>
      </c>
      <c r="AK19" s="52">
        <v>926553</v>
      </c>
      <c r="AL19" s="52">
        <v>0</v>
      </c>
      <c r="AM19" s="52">
        <v>31837452</v>
      </c>
      <c r="AN19" s="52">
        <v>135773</v>
      </c>
      <c r="AO19" s="52">
        <v>87807</v>
      </c>
      <c r="AP19" s="52">
        <v>0</v>
      </c>
      <c r="AQ19" s="52">
        <v>0</v>
      </c>
      <c r="AR19" s="19">
        <v>32987585</v>
      </c>
      <c r="AS19" s="19">
        <v>58952239</v>
      </c>
    </row>
    <row r="20" spans="1:45" ht="13.5" customHeight="1">
      <c r="A20" s="44" t="s">
        <v>60</v>
      </c>
      <c r="B20" s="15" t="s">
        <v>12</v>
      </c>
      <c r="C20" s="52">
        <v>445</v>
      </c>
      <c r="D20" s="52">
        <v>35</v>
      </c>
      <c r="E20" s="52">
        <v>0</v>
      </c>
      <c r="F20" s="52">
        <v>509</v>
      </c>
      <c r="G20" s="52">
        <v>17</v>
      </c>
      <c r="H20" s="52">
        <v>28</v>
      </c>
      <c r="I20" s="52">
        <v>23218</v>
      </c>
      <c r="J20" s="52">
        <v>1965</v>
      </c>
      <c r="K20" s="52">
        <v>4889</v>
      </c>
      <c r="L20" s="52">
        <v>17914</v>
      </c>
      <c r="M20" s="52">
        <v>7379</v>
      </c>
      <c r="N20" s="52">
        <v>32561</v>
      </c>
      <c r="O20" s="52">
        <v>94724</v>
      </c>
      <c r="P20" s="52">
        <v>10095763</v>
      </c>
      <c r="Q20" s="52">
        <v>633</v>
      </c>
      <c r="R20" s="52">
        <v>2581</v>
      </c>
      <c r="S20" s="52">
        <v>899</v>
      </c>
      <c r="T20" s="52">
        <v>665</v>
      </c>
      <c r="U20" s="52">
        <v>253</v>
      </c>
      <c r="V20" s="52">
        <v>5783</v>
      </c>
      <c r="W20" s="52">
        <v>4276880</v>
      </c>
      <c r="X20" s="52">
        <v>2652</v>
      </c>
      <c r="Y20" s="52">
        <v>2757</v>
      </c>
      <c r="Z20" s="52">
        <v>0</v>
      </c>
      <c r="AA20" s="52">
        <v>23</v>
      </c>
      <c r="AB20" s="52">
        <v>206557</v>
      </c>
      <c r="AC20" s="52">
        <v>5768</v>
      </c>
      <c r="AD20" s="52">
        <v>533947</v>
      </c>
      <c r="AE20" s="52">
        <v>2056</v>
      </c>
      <c r="AF20" s="52">
        <v>635</v>
      </c>
      <c r="AG20" s="52">
        <v>306</v>
      </c>
      <c r="AH20" s="52">
        <v>610229</v>
      </c>
      <c r="AI20" s="52">
        <v>0</v>
      </c>
      <c r="AJ20" s="18">
        <v>15932071</v>
      </c>
      <c r="AK20" s="52">
        <v>13709962</v>
      </c>
      <c r="AL20" s="52">
        <v>0</v>
      </c>
      <c r="AM20" s="52">
        <v>15030710</v>
      </c>
      <c r="AN20" s="52">
        <v>5275734</v>
      </c>
      <c r="AO20" s="52">
        <v>350076</v>
      </c>
      <c r="AP20" s="52">
        <v>0</v>
      </c>
      <c r="AQ20" s="52">
        <v>0</v>
      </c>
      <c r="AR20" s="19">
        <v>34366482</v>
      </c>
      <c r="AS20" s="19">
        <v>50298553</v>
      </c>
    </row>
    <row r="21" spans="1:45" ht="13.5" customHeight="1">
      <c r="A21" s="44" t="s">
        <v>61</v>
      </c>
      <c r="B21" s="15" t="s">
        <v>62</v>
      </c>
      <c r="C21" s="52">
        <v>160</v>
      </c>
      <c r="D21" s="52">
        <v>8</v>
      </c>
      <c r="E21" s="52">
        <v>3842</v>
      </c>
      <c r="F21" s="52">
        <v>315797</v>
      </c>
      <c r="G21" s="52">
        <v>2773</v>
      </c>
      <c r="H21" s="52">
        <v>440</v>
      </c>
      <c r="I21" s="52">
        <v>17738</v>
      </c>
      <c r="J21" s="52">
        <v>307</v>
      </c>
      <c r="K21" s="52">
        <v>768</v>
      </c>
      <c r="L21" s="52">
        <v>3559</v>
      </c>
      <c r="M21" s="52">
        <v>19158</v>
      </c>
      <c r="N21" s="52">
        <v>4871</v>
      </c>
      <c r="O21" s="52">
        <v>2084</v>
      </c>
      <c r="P21" s="52">
        <v>41905</v>
      </c>
      <c r="Q21" s="52">
        <v>1058727</v>
      </c>
      <c r="R21" s="52">
        <v>28866</v>
      </c>
      <c r="S21" s="52">
        <v>4797</v>
      </c>
      <c r="T21" s="52">
        <v>19661</v>
      </c>
      <c r="U21" s="52">
        <v>115035</v>
      </c>
      <c r="V21" s="52">
        <v>92579</v>
      </c>
      <c r="W21" s="52">
        <v>27650</v>
      </c>
      <c r="X21" s="52">
        <v>106012</v>
      </c>
      <c r="Y21" s="52">
        <v>21224</v>
      </c>
      <c r="Z21" s="52">
        <v>36419</v>
      </c>
      <c r="AA21" s="52">
        <v>2832</v>
      </c>
      <c r="AB21" s="52">
        <v>60097</v>
      </c>
      <c r="AC21" s="52">
        <v>45480</v>
      </c>
      <c r="AD21" s="52">
        <v>79168</v>
      </c>
      <c r="AE21" s="52">
        <v>283031</v>
      </c>
      <c r="AF21" s="52">
        <v>75560</v>
      </c>
      <c r="AG21" s="52">
        <v>341719</v>
      </c>
      <c r="AH21" s="52">
        <v>19924</v>
      </c>
      <c r="AI21" s="52">
        <v>0</v>
      </c>
      <c r="AJ21" s="18">
        <v>2832191</v>
      </c>
      <c r="AK21" s="52">
        <v>6666343</v>
      </c>
      <c r="AL21" s="52">
        <v>0</v>
      </c>
      <c r="AM21" s="52">
        <v>1044978</v>
      </c>
      <c r="AN21" s="52">
        <v>77901</v>
      </c>
      <c r="AO21" s="52">
        <v>94700</v>
      </c>
      <c r="AP21" s="52">
        <v>814601</v>
      </c>
      <c r="AQ21" s="52">
        <v>985498</v>
      </c>
      <c r="AR21" s="19">
        <v>9684021</v>
      </c>
      <c r="AS21" s="19">
        <v>12516212</v>
      </c>
    </row>
    <row r="22" spans="1:45" ht="13.5" customHeight="1">
      <c r="A22" s="44" t="s">
        <v>63</v>
      </c>
      <c r="B22" s="15" t="s">
        <v>64</v>
      </c>
      <c r="C22" s="52">
        <v>0</v>
      </c>
      <c r="D22" s="52">
        <v>0</v>
      </c>
      <c r="E22" s="52">
        <v>18398</v>
      </c>
      <c r="F22" s="52">
        <v>5436918</v>
      </c>
      <c r="G22" s="52">
        <v>17843</v>
      </c>
      <c r="H22" s="52">
        <v>0</v>
      </c>
      <c r="I22" s="52">
        <v>618126</v>
      </c>
      <c r="J22" s="52">
        <v>4938</v>
      </c>
      <c r="K22" s="52">
        <v>136342</v>
      </c>
      <c r="L22" s="52">
        <v>0</v>
      </c>
      <c r="M22" s="52">
        <v>3443325</v>
      </c>
      <c r="N22" s="52">
        <v>2233225</v>
      </c>
      <c r="O22" s="52">
        <v>197625</v>
      </c>
      <c r="P22" s="52">
        <v>109459</v>
      </c>
      <c r="Q22" s="52">
        <v>164454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61</v>
      </c>
      <c r="Z22" s="52">
        <v>0</v>
      </c>
      <c r="AA22" s="52">
        <v>0</v>
      </c>
      <c r="AB22" s="52">
        <v>0</v>
      </c>
      <c r="AC22" s="52">
        <v>0</v>
      </c>
      <c r="AD22" s="52">
        <v>17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18">
        <v>12380731</v>
      </c>
      <c r="AK22" s="52">
        <v>64</v>
      </c>
      <c r="AL22" s="52">
        <v>0</v>
      </c>
      <c r="AM22" s="52">
        <v>0</v>
      </c>
      <c r="AN22" s="52">
        <v>0</v>
      </c>
      <c r="AO22" s="52">
        <v>0</v>
      </c>
      <c r="AP22" s="52">
        <v>0</v>
      </c>
      <c r="AQ22" s="52">
        <v>0</v>
      </c>
      <c r="AR22" s="19">
        <v>64</v>
      </c>
      <c r="AS22" s="19">
        <v>12380795</v>
      </c>
    </row>
    <row r="23" spans="1:45" ht="13.5" customHeight="1">
      <c r="A23" s="44" t="s">
        <v>65</v>
      </c>
      <c r="B23" s="15" t="s">
        <v>13</v>
      </c>
      <c r="C23" s="52">
        <v>0</v>
      </c>
      <c r="D23" s="52">
        <v>1</v>
      </c>
      <c r="E23" s="52">
        <v>12</v>
      </c>
      <c r="F23" s="52">
        <v>29</v>
      </c>
      <c r="G23" s="52">
        <v>8</v>
      </c>
      <c r="H23" s="52">
        <v>590</v>
      </c>
      <c r="I23" s="52">
        <v>492</v>
      </c>
      <c r="J23" s="52">
        <v>4</v>
      </c>
      <c r="K23" s="52">
        <v>188</v>
      </c>
      <c r="L23" s="52">
        <v>33</v>
      </c>
      <c r="M23" s="52">
        <v>575</v>
      </c>
      <c r="N23" s="52">
        <v>81</v>
      </c>
      <c r="O23" s="52">
        <v>43</v>
      </c>
      <c r="P23" s="52">
        <v>691</v>
      </c>
      <c r="Q23" s="52">
        <v>1</v>
      </c>
      <c r="R23" s="52">
        <v>1</v>
      </c>
      <c r="S23" s="52">
        <v>1</v>
      </c>
      <c r="T23" s="52">
        <v>0</v>
      </c>
      <c r="U23" s="52">
        <v>0</v>
      </c>
      <c r="V23" s="52">
        <v>83</v>
      </c>
      <c r="W23" s="52">
        <v>12</v>
      </c>
      <c r="X23" s="52">
        <v>26</v>
      </c>
      <c r="Y23" s="52">
        <v>18</v>
      </c>
      <c r="Z23" s="52">
        <v>17</v>
      </c>
      <c r="AA23" s="52">
        <v>20</v>
      </c>
      <c r="AB23" s="52">
        <v>90</v>
      </c>
      <c r="AC23" s="52">
        <v>52</v>
      </c>
      <c r="AD23" s="52">
        <v>159884</v>
      </c>
      <c r="AE23" s="52">
        <v>3</v>
      </c>
      <c r="AF23" s="52">
        <v>0</v>
      </c>
      <c r="AG23" s="52">
        <v>17</v>
      </c>
      <c r="AH23" s="52">
        <v>0</v>
      </c>
      <c r="AI23" s="52">
        <v>0</v>
      </c>
      <c r="AJ23" s="18">
        <v>162972</v>
      </c>
      <c r="AK23" s="52">
        <v>65881</v>
      </c>
      <c r="AL23" s="52">
        <v>0</v>
      </c>
      <c r="AM23" s="52">
        <v>0</v>
      </c>
      <c r="AN23" s="52">
        <v>0</v>
      </c>
      <c r="AO23" s="52">
        <v>0</v>
      </c>
      <c r="AP23" s="52">
        <v>0</v>
      </c>
      <c r="AQ23" s="52">
        <v>0</v>
      </c>
      <c r="AR23" s="19">
        <v>65881</v>
      </c>
      <c r="AS23" s="19">
        <v>228853</v>
      </c>
    </row>
    <row r="24" spans="1:45" ht="13.5" customHeight="1">
      <c r="A24" s="44" t="s">
        <v>66</v>
      </c>
      <c r="B24" s="15" t="s">
        <v>67</v>
      </c>
      <c r="C24" s="52">
        <v>614</v>
      </c>
      <c r="D24" s="52">
        <v>0</v>
      </c>
      <c r="E24" s="52">
        <v>2339</v>
      </c>
      <c r="F24" s="52">
        <v>896</v>
      </c>
      <c r="G24" s="52">
        <v>505</v>
      </c>
      <c r="H24" s="52">
        <v>627</v>
      </c>
      <c r="I24" s="52">
        <v>11380</v>
      </c>
      <c r="J24" s="52">
        <v>420</v>
      </c>
      <c r="K24" s="52">
        <v>2336</v>
      </c>
      <c r="L24" s="52">
        <v>2711</v>
      </c>
      <c r="M24" s="52">
        <v>1216</v>
      </c>
      <c r="N24" s="52">
        <v>592</v>
      </c>
      <c r="O24" s="52">
        <v>776</v>
      </c>
      <c r="P24" s="52">
        <v>2481</v>
      </c>
      <c r="Q24" s="52">
        <v>56</v>
      </c>
      <c r="R24" s="52">
        <v>227</v>
      </c>
      <c r="S24" s="52">
        <v>1630</v>
      </c>
      <c r="T24" s="52">
        <v>5480</v>
      </c>
      <c r="U24" s="52">
        <v>320</v>
      </c>
      <c r="V24" s="52">
        <v>2273</v>
      </c>
      <c r="W24" s="52">
        <v>2287</v>
      </c>
      <c r="X24" s="52">
        <v>20612</v>
      </c>
      <c r="Y24" s="52">
        <v>2462</v>
      </c>
      <c r="Z24" s="52">
        <v>2977</v>
      </c>
      <c r="AA24" s="52">
        <v>11850</v>
      </c>
      <c r="AB24" s="52">
        <v>1812</v>
      </c>
      <c r="AC24" s="52">
        <v>1003</v>
      </c>
      <c r="AD24" s="52">
        <v>44856</v>
      </c>
      <c r="AE24" s="52">
        <v>6445</v>
      </c>
      <c r="AF24" s="52">
        <v>15525</v>
      </c>
      <c r="AG24" s="52">
        <v>2214</v>
      </c>
      <c r="AH24" s="52">
        <v>2186</v>
      </c>
      <c r="AI24" s="52">
        <v>0</v>
      </c>
      <c r="AJ24" s="18">
        <v>151108</v>
      </c>
      <c r="AK24" s="52">
        <v>41247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19">
        <v>41247</v>
      </c>
      <c r="AS24" s="19">
        <v>192355</v>
      </c>
    </row>
    <row r="25" spans="1:45" ht="13.5" customHeight="1">
      <c r="A25" s="44" t="s">
        <v>68</v>
      </c>
      <c r="B25" s="15" t="s">
        <v>14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1</v>
      </c>
      <c r="J25" s="52">
        <v>0</v>
      </c>
      <c r="K25" s="52">
        <v>0</v>
      </c>
      <c r="L25" s="52">
        <v>0</v>
      </c>
      <c r="M25" s="52">
        <v>14</v>
      </c>
      <c r="N25" s="52">
        <v>0</v>
      </c>
      <c r="O25" s="52">
        <v>0</v>
      </c>
      <c r="P25" s="52">
        <v>10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1525</v>
      </c>
      <c r="AE25" s="52">
        <v>0</v>
      </c>
      <c r="AF25" s="52">
        <v>0</v>
      </c>
      <c r="AG25" s="52">
        <v>0</v>
      </c>
      <c r="AH25" s="52">
        <v>0</v>
      </c>
      <c r="AI25" s="52">
        <v>0</v>
      </c>
      <c r="AJ25" s="18">
        <v>1550</v>
      </c>
      <c r="AK25" s="52">
        <v>0</v>
      </c>
      <c r="AL25" s="52">
        <v>0</v>
      </c>
      <c r="AM25" s="52">
        <v>0</v>
      </c>
      <c r="AN25" s="52">
        <v>0</v>
      </c>
      <c r="AO25" s="52">
        <v>0</v>
      </c>
      <c r="AP25" s="52">
        <v>0</v>
      </c>
      <c r="AQ25" s="52">
        <v>0</v>
      </c>
      <c r="AR25" s="19">
        <v>0</v>
      </c>
      <c r="AS25" s="19">
        <v>1550</v>
      </c>
    </row>
    <row r="26" spans="1:45" ht="13.5" customHeight="1">
      <c r="A26" s="44" t="s">
        <v>69</v>
      </c>
      <c r="B26" s="15" t="s">
        <v>70</v>
      </c>
      <c r="C26" s="52">
        <v>9256</v>
      </c>
      <c r="D26" s="52">
        <v>648</v>
      </c>
      <c r="E26" s="52">
        <v>110269</v>
      </c>
      <c r="F26" s="52">
        <v>180623</v>
      </c>
      <c r="G26" s="52">
        <v>42417</v>
      </c>
      <c r="H26" s="52">
        <v>778246</v>
      </c>
      <c r="I26" s="52">
        <v>790474</v>
      </c>
      <c r="J26" s="52">
        <v>23763</v>
      </c>
      <c r="K26" s="52">
        <v>459950</v>
      </c>
      <c r="L26" s="52">
        <v>84524</v>
      </c>
      <c r="M26" s="52">
        <v>868738</v>
      </c>
      <c r="N26" s="52">
        <v>268346</v>
      </c>
      <c r="O26" s="52">
        <v>323332</v>
      </c>
      <c r="P26" s="52">
        <v>662432</v>
      </c>
      <c r="Q26" s="52">
        <v>22129</v>
      </c>
      <c r="R26" s="52">
        <v>6109</v>
      </c>
      <c r="S26" s="52">
        <v>102223</v>
      </c>
      <c r="T26" s="52">
        <v>592</v>
      </c>
      <c r="U26" s="52">
        <v>42417</v>
      </c>
      <c r="V26" s="52">
        <v>111521</v>
      </c>
      <c r="W26" s="52">
        <v>56552</v>
      </c>
      <c r="X26" s="52">
        <v>31398</v>
      </c>
      <c r="Y26" s="52">
        <v>15636</v>
      </c>
      <c r="Z26" s="52">
        <v>867</v>
      </c>
      <c r="AA26" s="52">
        <v>246</v>
      </c>
      <c r="AB26" s="52">
        <v>17935</v>
      </c>
      <c r="AC26" s="52">
        <v>1962</v>
      </c>
      <c r="AD26" s="52">
        <v>4882</v>
      </c>
      <c r="AE26" s="52">
        <v>4564</v>
      </c>
      <c r="AF26" s="52">
        <v>38960</v>
      </c>
      <c r="AG26" s="52">
        <v>2131</v>
      </c>
      <c r="AH26" s="52">
        <v>5460</v>
      </c>
      <c r="AI26" s="52">
        <v>0</v>
      </c>
      <c r="AJ26" s="18">
        <v>5068602</v>
      </c>
      <c r="AK26" s="52">
        <v>0</v>
      </c>
      <c r="AL26" s="52">
        <v>0</v>
      </c>
      <c r="AM26" s="52">
        <v>0</v>
      </c>
      <c r="AN26" s="52">
        <v>0</v>
      </c>
      <c r="AO26" s="52">
        <v>0</v>
      </c>
      <c r="AP26" s="52">
        <v>0</v>
      </c>
      <c r="AQ26" s="52">
        <v>0</v>
      </c>
      <c r="AR26" s="19">
        <v>0</v>
      </c>
      <c r="AS26" s="19">
        <v>5068602</v>
      </c>
    </row>
    <row r="27" spans="1:45" ht="13.5" customHeight="1">
      <c r="A27" s="44" t="s">
        <v>71</v>
      </c>
      <c r="B27" s="15" t="s">
        <v>42</v>
      </c>
      <c r="C27" s="52">
        <v>463683</v>
      </c>
      <c r="D27" s="52">
        <v>9917</v>
      </c>
      <c r="E27" s="52">
        <v>73006</v>
      </c>
      <c r="F27" s="52">
        <v>28207</v>
      </c>
      <c r="G27" s="52">
        <v>10330</v>
      </c>
      <c r="H27" s="52">
        <v>27355</v>
      </c>
      <c r="I27" s="52">
        <v>213993</v>
      </c>
      <c r="J27" s="52">
        <v>47572</v>
      </c>
      <c r="K27" s="52">
        <v>98439</v>
      </c>
      <c r="L27" s="52">
        <v>73153</v>
      </c>
      <c r="M27" s="52">
        <v>88930</v>
      </c>
      <c r="N27" s="52">
        <v>40751</v>
      </c>
      <c r="O27" s="52">
        <v>87612</v>
      </c>
      <c r="P27" s="52">
        <v>67001</v>
      </c>
      <c r="Q27" s="52">
        <v>5300</v>
      </c>
      <c r="R27" s="52">
        <v>32368</v>
      </c>
      <c r="S27" s="52">
        <v>3093</v>
      </c>
      <c r="T27" s="52">
        <v>56117</v>
      </c>
      <c r="U27" s="52">
        <v>9281</v>
      </c>
      <c r="V27" s="52">
        <v>945024</v>
      </c>
      <c r="W27" s="52">
        <v>20042959</v>
      </c>
      <c r="X27" s="52">
        <v>14496</v>
      </c>
      <c r="Y27" s="52">
        <v>52411</v>
      </c>
      <c r="Z27" s="52">
        <v>74957</v>
      </c>
      <c r="AA27" s="52">
        <v>9283</v>
      </c>
      <c r="AB27" s="52">
        <v>149619</v>
      </c>
      <c r="AC27" s="52">
        <v>86133</v>
      </c>
      <c r="AD27" s="52">
        <v>374218</v>
      </c>
      <c r="AE27" s="52">
        <v>20397</v>
      </c>
      <c r="AF27" s="52">
        <v>19969</v>
      </c>
      <c r="AG27" s="52">
        <v>18182</v>
      </c>
      <c r="AH27" s="52">
        <v>17375</v>
      </c>
      <c r="AI27" s="52">
        <v>0</v>
      </c>
      <c r="AJ27" s="18">
        <v>23261131</v>
      </c>
      <c r="AK27" s="52">
        <v>9262988</v>
      </c>
      <c r="AL27" s="52">
        <v>0</v>
      </c>
      <c r="AM27" s="52">
        <v>0</v>
      </c>
      <c r="AN27" s="52">
        <v>0</v>
      </c>
      <c r="AO27" s="52">
        <v>0</v>
      </c>
      <c r="AP27" s="52">
        <v>0</v>
      </c>
      <c r="AQ27" s="52">
        <v>0</v>
      </c>
      <c r="AR27" s="19">
        <v>9262988</v>
      </c>
      <c r="AS27" s="19">
        <v>32524119</v>
      </c>
    </row>
    <row r="28" spans="1:45" ht="13.5" customHeight="1">
      <c r="A28" s="44" t="s">
        <v>72</v>
      </c>
      <c r="B28" s="15" t="s">
        <v>15</v>
      </c>
      <c r="C28" s="52">
        <v>62399</v>
      </c>
      <c r="D28" s="52">
        <v>3650</v>
      </c>
      <c r="E28" s="52">
        <v>25869</v>
      </c>
      <c r="F28" s="52">
        <v>19116</v>
      </c>
      <c r="G28" s="52">
        <v>25442</v>
      </c>
      <c r="H28" s="52">
        <v>25026</v>
      </c>
      <c r="I28" s="52">
        <v>109252</v>
      </c>
      <c r="J28" s="52">
        <v>20973</v>
      </c>
      <c r="K28" s="52">
        <v>58909</v>
      </c>
      <c r="L28" s="52">
        <v>48052</v>
      </c>
      <c r="M28" s="52">
        <v>51612</v>
      </c>
      <c r="N28" s="52">
        <v>36449</v>
      </c>
      <c r="O28" s="52">
        <v>64818</v>
      </c>
      <c r="P28" s="52">
        <v>61710</v>
      </c>
      <c r="Q28" s="52">
        <v>7238</v>
      </c>
      <c r="R28" s="52">
        <v>61098</v>
      </c>
      <c r="S28" s="52">
        <v>16631</v>
      </c>
      <c r="T28" s="52">
        <v>27120</v>
      </c>
      <c r="U28" s="52">
        <v>42151</v>
      </c>
      <c r="V28" s="52">
        <v>551689</v>
      </c>
      <c r="W28" s="52">
        <v>709354</v>
      </c>
      <c r="X28" s="52">
        <v>78182</v>
      </c>
      <c r="Y28" s="52">
        <v>261516</v>
      </c>
      <c r="Z28" s="52">
        <v>257079</v>
      </c>
      <c r="AA28" s="52">
        <v>59513</v>
      </c>
      <c r="AB28" s="52">
        <v>670161</v>
      </c>
      <c r="AC28" s="52">
        <v>201384</v>
      </c>
      <c r="AD28" s="52">
        <v>445035</v>
      </c>
      <c r="AE28" s="52">
        <v>295563</v>
      </c>
      <c r="AF28" s="52">
        <v>154790</v>
      </c>
      <c r="AG28" s="52">
        <v>111967</v>
      </c>
      <c r="AH28" s="52">
        <v>242994</v>
      </c>
      <c r="AI28" s="52">
        <v>445</v>
      </c>
      <c r="AJ28" s="18">
        <v>4807187</v>
      </c>
      <c r="AK28" s="52">
        <v>14794994</v>
      </c>
      <c r="AL28" s="52">
        <v>0</v>
      </c>
      <c r="AM28" s="52">
        <v>0</v>
      </c>
      <c r="AN28" s="52">
        <v>0</v>
      </c>
      <c r="AO28" s="52">
        <v>0</v>
      </c>
      <c r="AP28" s="52">
        <v>0</v>
      </c>
      <c r="AQ28" s="52">
        <v>0</v>
      </c>
      <c r="AR28" s="19">
        <v>14794994</v>
      </c>
      <c r="AS28" s="19">
        <v>19602181</v>
      </c>
    </row>
    <row r="29" spans="1:45" ht="13.5" customHeight="1">
      <c r="A29" s="44" t="s">
        <v>73</v>
      </c>
      <c r="B29" s="15" t="s">
        <v>16</v>
      </c>
      <c r="C29" s="52">
        <v>15892</v>
      </c>
      <c r="D29" s="52">
        <v>1256</v>
      </c>
      <c r="E29" s="52">
        <v>33133</v>
      </c>
      <c r="F29" s="52">
        <v>16371</v>
      </c>
      <c r="G29" s="52">
        <v>28269</v>
      </c>
      <c r="H29" s="52">
        <v>112065</v>
      </c>
      <c r="I29" s="52">
        <v>109861</v>
      </c>
      <c r="J29" s="52">
        <v>12225</v>
      </c>
      <c r="K29" s="52">
        <v>108685</v>
      </c>
      <c r="L29" s="52">
        <v>41198</v>
      </c>
      <c r="M29" s="52">
        <v>334654</v>
      </c>
      <c r="N29" s="52">
        <v>48950</v>
      </c>
      <c r="O29" s="52">
        <v>73518</v>
      </c>
      <c r="P29" s="52">
        <v>150134</v>
      </c>
      <c r="Q29" s="52">
        <v>3491</v>
      </c>
      <c r="R29" s="52">
        <v>101901</v>
      </c>
      <c r="S29" s="52">
        <v>45172</v>
      </c>
      <c r="T29" s="52">
        <v>76579</v>
      </c>
      <c r="U29" s="52">
        <v>71854</v>
      </c>
      <c r="V29" s="52">
        <v>642579</v>
      </c>
      <c r="W29" s="52">
        <v>319176</v>
      </c>
      <c r="X29" s="52">
        <v>26590</v>
      </c>
      <c r="Y29" s="52">
        <v>9308509</v>
      </c>
      <c r="Z29" s="52">
        <v>1572323</v>
      </c>
      <c r="AA29" s="52">
        <v>51766</v>
      </c>
      <c r="AB29" s="52">
        <v>1243260</v>
      </c>
      <c r="AC29" s="52">
        <v>97775</v>
      </c>
      <c r="AD29" s="52">
        <v>1028873</v>
      </c>
      <c r="AE29" s="52">
        <v>296653</v>
      </c>
      <c r="AF29" s="52">
        <v>83149</v>
      </c>
      <c r="AG29" s="52">
        <v>237282</v>
      </c>
      <c r="AH29" s="52">
        <v>55274</v>
      </c>
      <c r="AI29" s="52">
        <v>5761</v>
      </c>
      <c r="AJ29" s="18">
        <v>16354178</v>
      </c>
      <c r="AK29" s="52">
        <v>3599699</v>
      </c>
      <c r="AL29" s="52">
        <v>0</v>
      </c>
      <c r="AM29" s="52">
        <v>2261787</v>
      </c>
      <c r="AN29" s="52">
        <v>22926</v>
      </c>
      <c r="AO29" s="52">
        <v>1255</v>
      </c>
      <c r="AP29" s="52">
        <v>0</v>
      </c>
      <c r="AQ29" s="52">
        <v>0</v>
      </c>
      <c r="AR29" s="19">
        <v>5885667</v>
      </c>
      <c r="AS29" s="19">
        <v>22239845</v>
      </c>
    </row>
    <row r="30" spans="1:45" ht="13.5" customHeight="1">
      <c r="A30" s="44" t="s">
        <v>74</v>
      </c>
      <c r="B30" s="15" t="s">
        <v>17</v>
      </c>
      <c r="C30" s="52">
        <v>23403</v>
      </c>
      <c r="D30" s="52">
        <v>3471</v>
      </c>
      <c r="E30" s="52">
        <v>36595</v>
      </c>
      <c r="F30" s="52">
        <v>14237</v>
      </c>
      <c r="G30" s="52">
        <v>17758</v>
      </c>
      <c r="H30" s="52">
        <v>23630</v>
      </c>
      <c r="I30" s="52">
        <v>82856</v>
      </c>
      <c r="J30" s="52">
        <v>18003</v>
      </c>
      <c r="K30" s="52">
        <v>47079</v>
      </c>
      <c r="L30" s="52">
        <v>40119</v>
      </c>
      <c r="M30" s="52">
        <v>53351</v>
      </c>
      <c r="N30" s="52">
        <v>40223</v>
      </c>
      <c r="O30" s="52">
        <v>54823</v>
      </c>
      <c r="P30" s="52">
        <v>78145</v>
      </c>
      <c r="Q30" s="52">
        <v>7618</v>
      </c>
      <c r="R30" s="52">
        <v>22495</v>
      </c>
      <c r="S30" s="52">
        <v>21373</v>
      </c>
      <c r="T30" s="52">
        <v>14797</v>
      </c>
      <c r="U30" s="52">
        <v>167862</v>
      </c>
      <c r="V30" s="52">
        <v>258951</v>
      </c>
      <c r="W30" s="52">
        <v>72165</v>
      </c>
      <c r="X30" s="52">
        <v>53101</v>
      </c>
      <c r="Y30" s="52">
        <v>49071</v>
      </c>
      <c r="Z30" s="52">
        <v>2966607</v>
      </c>
      <c r="AA30" s="52">
        <v>942540</v>
      </c>
      <c r="AB30" s="52">
        <v>130063</v>
      </c>
      <c r="AC30" s="52">
        <v>26115</v>
      </c>
      <c r="AD30" s="52">
        <v>666249</v>
      </c>
      <c r="AE30" s="52">
        <v>51894</v>
      </c>
      <c r="AF30" s="52">
        <v>94832</v>
      </c>
      <c r="AG30" s="52">
        <v>36668</v>
      </c>
      <c r="AH30" s="52">
        <v>45340</v>
      </c>
      <c r="AI30" s="52">
        <v>0</v>
      </c>
      <c r="AJ30" s="18">
        <v>6161434</v>
      </c>
      <c r="AK30" s="52">
        <v>2172759</v>
      </c>
      <c r="AL30" s="52">
        <v>0</v>
      </c>
      <c r="AM30" s="52">
        <v>0</v>
      </c>
      <c r="AN30" s="52">
        <v>0</v>
      </c>
      <c r="AO30" s="52">
        <v>0</v>
      </c>
      <c r="AP30" s="52">
        <v>0</v>
      </c>
      <c r="AQ30" s="52">
        <v>0</v>
      </c>
      <c r="AR30" s="19">
        <v>2172759</v>
      </c>
      <c r="AS30" s="19">
        <v>8334193</v>
      </c>
    </row>
    <row r="31" spans="1:45" ht="13.5" customHeight="1">
      <c r="A31" s="44" t="s">
        <v>75</v>
      </c>
      <c r="B31" s="15" t="s">
        <v>76</v>
      </c>
      <c r="C31" s="52">
        <v>23</v>
      </c>
      <c r="D31" s="52">
        <v>8</v>
      </c>
      <c r="E31" s="52">
        <v>1006</v>
      </c>
      <c r="F31" s="52">
        <v>1285</v>
      </c>
      <c r="G31" s="52">
        <v>411</v>
      </c>
      <c r="H31" s="52">
        <v>5895</v>
      </c>
      <c r="I31" s="52">
        <v>17348</v>
      </c>
      <c r="J31" s="52">
        <v>110</v>
      </c>
      <c r="K31" s="52">
        <v>862</v>
      </c>
      <c r="L31" s="52">
        <v>600</v>
      </c>
      <c r="M31" s="52">
        <v>12095</v>
      </c>
      <c r="N31" s="52">
        <v>4064</v>
      </c>
      <c r="O31" s="52">
        <v>3855</v>
      </c>
      <c r="P31" s="52">
        <v>28469</v>
      </c>
      <c r="Q31" s="52">
        <v>308</v>
      </c>
      <c r="R31" s="52">
        <v>59</v>
      </c>
      <c r="S31" s="52">
        <v>46</v>
      </c>
      <c r="T31" s="52">
        <v>40</v>
      </c>
      <c r="U31" s="52">
        <v>531</v>
      </c>
      <c r="V31" s="52">
        <v>210534</v>
      </c>
      <c r="W31" s="52">
        <v>6895</v>
      </c>
      <c r="X31" s="52">
        <v>19728</v>
      </c>
      <c r="Y31" s="52">
        <v>12187</v>
      </c>
      <c r="Z31" s="52">
        <v>10047</v>
      </c>
      <c r="AA31" s="52">
        <v>1494</v>
      </c>
      <c r="AB31" s="52">
        <v>75275</v>
      </c>
      <c r="AC31" s="52">
        <v>25383</v>
      </c>
      <c r="AD31" s="52">
        <v>720342</v>
      </c>
      <c r="AE31" s="52">
        <v>723</v>
      </c>
      <c r="AF31" s="52">
        <v>1567</v>
      </c>
      <c r="AG31" s="52">
        <v>3482</v>
      </c>
      <c r="AH31" s="52">
        <v>916</v>
      </c>
      <c r="AI31" s="52">
        <v>0</v>
      </c>
      <c r="AJ31" s="18">
        <v>1165588</v>
      </c>
      <c r="AK31" s="52">
        <v>445158</v>
      </c>
      <c r="AL31" s="52">
        <v>0</v>
      </c>
      <c r="AM31" s="52">
        <v>0</v>
      </c>
      <c r="AN31" s="52">
        <v>0</v>
      </c>
      <c r="AO31" s="52">
        <v>0</v>
      </c>
      <c r="AP31" s="52">
        <v>0</v>
      </c>
      <c r="AQ31" s="52">
        <v>0</v>
      </c>
      <c r="AR31" s="19">
        <v>445158</v>
      </c>
      <c r="AS31" s="19">
        <v>1610746</v>
      </c>
    </row>
    <row r="32" spans="1:45" ht="13.5" customHeight="1">
      <c r="A32" s="44" t="s">
        <v>77</v>
      </c>
      <c r="B32" s="15" t="s">
        <v>43</v>
      </c>
      <c r="C32" s="52">
        <v>27765</v>
      </c>
      <c r="D32" s="52">
        <v>2375</v>
      </c>
      <c r="E32" s="52">
        <v>393601</v>
      </c>
      <c r="F32" s="52">
        <v>141486</v>
      </c>
      <c r="G32" s="52">
        <v>110839</v>
      </c>
      <c r="H32" s="52">
        <v>603130</v>
      </c>
      <c r="I32" s="52">
        <v>2089505</v>
      </c>
      <c r="J32" s="52">
        <v>89533</v>
      </c>
      <c r="K32" s="52">
        <v>1168810</v>
      </c>
      <c r="L32" s="52">
        <v>308379</v>
      </c>
      <c r="M32" s="52">
        <v>3133707</v>
      </c>
      <c r="N32" s="52">
        <v>980392</v>
      </c>
      <c r="O32" s="52">
        <v>893907</v>
      </c>
      <c r="P32" s="52">
        <v>2907960</v>
      </c>
      <c r="Q32" s="52">
        <v>67836</v>
      </c>
      <c r="R32" s="52">
        <v>23136</v>
      </c>
      <c r="S32" s="52">
        <v>128324</v>
      </c>
      <c r="T32" s="52">
        <v>48359</v>
      </c>
      <c r="U32" s="52">
        <v>1414686</v>
      </c>
      <c r="V32" s="52">
        <v>3498667</v>
      </c>
      <c r="W32" s="52">
        <v>572626</v>
      </c>
      <c r="X32" s="52">
        <v>322417</v>
      </c>
      <c r="Y32" s="52">
        <v>3670227</v>
      </c>
      <c r="Z32" s="52">
        <v>1570561</v>
      </c>
      <c r="AA32" s="52">
        <v>110577</v>
      </c>
      <c r="AB32" s="52">
        <v>3889830</v>
      </c>
      <c r="AC32" s="52">
        <v>692346</v>
      </c>
      <c r="AD32" s="52">
        <v>550665</v>
      </c>
      <c r="AE32" s="52">
        <v>205136</v>
      </c>
      <c r="AF32" s="52">
        <v>107040</v>
      </c>
      <c r="AG32" s="52">
        <v>300877</v>
      </c>
      <c r="AH32" s="52">
        <v>78406</v>
      </c>
      <c r="AI32" s="52">
        <v>24</v>
      </c>
      <c r="AJ32" s="18">
        <v>30103129</v>
      </c>
      <c r="AK32" s="52">
        <v>57037</v>
      </c>
      <c r="AL32" s="52">
        <v>0</v>
      </c>
      <c r="AM32" s="52">
        <v>6649811</v>
      </c>
      <c r="AN32" s="52">
        <v>428741</v>
      </c>
      <c r="AO32" s="52">
        <v>0</v>
      </c>
      <c r="AP32" s="52">
        <v>0</v>
      </c>
      <c r="AQ32" s="52">
        <v>0</v>
      </c>
      <c r="AR32" s="19">
        <v>7135589</v>
      </c>
      <c r="AS32" s="19">
        <v>37238718</v>
      </c>
    </row>
    <row r="33" spans="1:46" ht="13.5" customHeight="1">
      <c r="A33" s="44" t="s">
        <v>78</v>
      </c>
      <c r="B33" s="15" t="s">
        <v>18</v>
      </c>
      <c r="C33" s="52">
        <v>52610</v>
      </c>
      <c r="D33" s="52">
        <v>3018</v>
      </c>
      <c r="E33" s="52">
        <v>66149</v>
      </c>
      <c r="F33" s="52">
        <v>48759</v>
      </c>
      <c r="G33" s="52">
        <v>64298</v>
      </c>
      <c r="H33" s="52">
        <v>228649</v>
      </c>
      <c r="I33" s="52">
        <v>354476</v>
      </c>
      <c r="J33" s="52">
        <v>22317</v>
      </c>
      <c r="K33" s="52">
        <v>443321</v>
      </c>
      <c r="L33" s="52">
        <v>119962</v>
      </c>
      <c r="M33" s="52">
        <v>397959</v>
      </c>
      <c r="N33" s="52">
        <v>180903</v>
      </c>
      <c r="O33" s="52">
        <v>121452</v>
      </c>
      <c r="P33" s="52">
        <v>821742</v>
      </c>
      <c r="Q33" s="52">
        <v>17167</v>
      </c>
      <c r="R33" s="52">
        <v>182449</v>
      </c>
      <c r="S33" s="52">
        <v>113837</v>
      </c>
      <c r="T33" s="52">
        <v>230599</v>
      </c>
      <c r="U33" s="52">
        <v>210984</v>
      </c>
      <c r="V33" s="52">
        <v>3592270</v>
      </c>
      <c r="W33" s="52">
        <v>4921754</v>
      </c>
      <c r="X33" s="52">
        <v>196377</v>
      </c>
      <c r="Y33" s="52">
        <v>1423214</v>
      </c>
      <c r="Z33" s="52">
        <v>1792872</v>
      </c>
      <c r="AA33" s="52">
        <v>304888</v>
      </c>
      <c r="AB33" s="52">
        <v>1757099</v>
      </c>
      <c r="AC33" s="52">
        <v>2640731</v>
      </c>
      <c r="AD33" s="52">
        <v>863161</v>
      </c>
      <c r="AE33" s="52">
        <v>186408</v>
      </c>
      <c r="AF33" s="52">
        <v>141586</v>
      </c>
      <c r="AG33" s="52">
        <v>393522</v>
      </c>
      <c r="AH33" s="52">
        <v>49278</v>
      </c>
      <c r="AI33" s="52">
        <v>0</v>
      </c>
      <c r="AJ33" s="18">
        <v>21943811</v>
      </c>
      <c r="AK33" s="52">
        <v>181758</v>
      </c>
      <c r="AL33" s="52">
        <v>0</v>
      </c>
      <c r="AM33" s="52">
        <v>0</v>
      </c>
      <c r="AN33" s="52">
        <v>0</v>
      </c>
      <c r="AO33" s="52">
        <v>0</v>
      </c>
      <c r="AP33" s="52">
        <v>0</v>
      </c>
      <c r="AQ33" s="52">
        <v>0</v>
      </c>
      <c r="AR33" s="19">
        <v>181758</v>
      </c>
      <c r="AS33" s="19">
        <v>22125569</v>
      </c>
    </row>
    <row r="34" spans="1:46" ht="13.5" customHeight="1">
      <c r="A34" s="44" t="s">
        <v>79</v>
      </c>
      <c r="B34" s="15" t="s">
        <v>80</v>
      </c>
      <c r="C34" s="52">
        <v>109126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388270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2">
        <v>0</v>
      </c>
      <c r="AG34" s="52">
        <v>0</v>
      </c>
      <c r="AH34" s="52">
        <v>0</v>
      </c>
      <c r="AI34" s="52">
        <v>0</v>
      </c>
      <c r="AJ34" s="18">
        <v>497396</v>
      </c>
      <c r="AK34" s="52">
        <v>0</v>
      </c>
      <c r="AL34" s="52">
        <v>0</v>
      </c>
      <c r="AM34" s="52">
        <v>0</v>
      </c>
      <c r="AN34" s="52">
        <v>0</v>
      </c>
      <c r="AO34" s="52">
        <v>0</v>
      </c>
      <c r="AP34" s="52">
        <v>0</v>
      </c>
      <c r="AQ34" s="52">
        <v>0</v>
      </c>
      <c r="AR34" s="19">
        <v>0</v>
      </c>
      <c r="AS34" s="19">
        <v>497396</v>
      </c>
    </row>
    <row r="35" spans="1:46" ht="13.5" customHeight="1">
      <c r="A35" s="44" t="s">
        <v>81</v>
      </c>
      <c r="B35" s="15" t="s">
        <v>19</v>
      </c>
      <c r="C35" s="52">
        <v>1</v>
      </c>
      <c r="D35" s="52">
        <v>0</v>
      </c>
      <c r="E35" s="52">
        <v>25</v>
      </c>
      <c r="F35" s="52">
        <v>10</v>
      </c>
      <c r="G35" s="52">
        <v>15</v>
      </c>
      <c r="H35" s="52">
        <v>116</v>
      </c>
      <c r="I35" s="52">
        <v>71</v>
      </c>
      <c r="J35" s="52">
        <v>13</v>
      </c>
      <c r="K35" s="52">
        <v>39</v>
      </c>
      <c r="L35" s="52">
        <v>25</v>
      </c>
      <c r="M35" s="52">
        <v>29</v>
      </c>
      <c r="N35" s="52">
        <v>21</v>
      </c>
      <c r="O35" s="52">
        <v>26</v>
      </c>
      <c r="P35" s="52">
        <v>42</v>
      </c>
      <c r="Q35" s="52">
        <v>4</v>
      </c>
      <c r="R35" s="52">
        <v>87</v>
      </c>
      <c r="S35" s="52">
        <v>17</v>
      </c>
      <c r="T35" s="52">
        <v>11</v>
      </c>
      <c r="U35" s="52">
        <v>28</v>
      </c>
      <c r="V35" s="52">
        <v>372</v>
      </c>
      <c r="W35" s="52">
        <v>34</v>
      </c>
      <c r="X35" s="52">
        <v>36</v>
      </c>
      <c r="Y35" s="52">
        <v>62</v>
      </c>
      <c r="Z35" s="52">
        <v>185</v>
      </c>
      <c r="AA35" s="52">
        <v>14</v>
      </c>
      <c r="AB35" s="52">
        <v>124</v>
      </c>
      <c r="AC35" s="52">
        <v>24</v>
      </c>
      <c r="AD35" s="52">
        <v>10542</v>
      </c>
      <c r="AE35" s="52">
        <v>31</v>
      </c>
      <c r="AF35" s="52">
        <v>12</v>
      </c>
      <c r="AG35" s="52">
        <v>9</v>
      </c>
      <c r="AH35" s="52">
        <v>42</v>
      </c>
      <c r="AI35" s="52">
        <v>0</v>
      </c>
      <c r="AJ35" s="18">
        <v>12067</v>
      </c>
      <c r="AK35" s="52">
        <v>2140607</v>
      </c>
      <c r="AL35" s="52">
        <v>0</v>
      </c>
      <c r="AM35" s="52">
        <v>0</v>
      </c>
      <c r="AN35" s="52">
        <v>0</v>
      </c>
      <c r="AO35" s="52">
        <v>0</v>
      </c>
      <c r="AP35" s="52">
        <v>0</v>
      </c>
      <c r="AQ35" s="52">
        <v>0</v>
      </c>
      <c r="AR35" s="19">
        <v>2140607</v>
      </c>
      <c r="AS35" s="19">
        <v>2152674</v>
      </c>
    </row>
    <row r="36" spans="1:46" ht="13.5" customHeight="1">
      <c r="A36" s="44" t="s">
        <v>82</v>
      </c>
      <c r="B36" s="15" t="s">
        <v>83</v>
      </c>
      <c r="C36" s="52">
        <v>478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12</v>
      </c>
      <c r="W36" s="52">
        <v>0</v>
      </c>
      <c r="X36" s="52">
        <v>1</v>
      </c>
      <c r="Y36" s="52">
        <v>0</v>
      </c>
      <c r="Z36" s="52">
        <v>3</v>
      </c>
      <c r="AA36" s="52">
        <v>0</v>
      </c>
      <c r="AB36" s="52">
        <v>5</v>
      </c>
      <c r="AC36" s="52">
        <v>1</v>
      </c>
      <c r="AD36" s="52">
        <v>80</v>
      </c>
      <c r="AE36" s="52">
        <v>2</v>
      </c>
      <c r="AF36" s="52">
        <v>12</v>
      </c>
      <c r="AG36" s="52">
        <v>1</v>
      </c>
      <c r="AH36" s="52">
        <v>0</v>
      </c>
      <c r="AI36" s="52">
        <v>0</v>
      </c>
      <c r="AJ36" s="18">
        <v>595</v>
      </c>
      <c r="AK36" s="52">
        <v>429429</v>
      </c>
      <c r="AL36" s="52">
        <v>0</v>
      </c>
      <c r="AM36" s="52">
        <v>0</v>
      </c>
      <c r="AN36" s="52">
        <v>0</v>
      </c>
      <c r="AO36" s="52">
        <v>0</v>
      </c>
      <c r="AP36" s="52">
        <v>0</v>
      </c>
      <c r="AQ36" s="52">
        <v>0</v>
      </c>
      <c r="AR36" s="19">
        <v>429429</v>
      </c>
      <c r="AS36" s="19">
        <v>430024</v>
      </c>
    </row>
    <row r="37" spans="1:46" ht="13.5" customHeight="1">
      <c r="A37" s="44" t="s">
        <v>84</v>
      </c>
      <c r="B37" s="15" t="s">
        <v>85</v>
      </c>
      <c r="C37" s="52">
        <v>123</v>
      </c>
      <c r="D37" s="52">
        <v>28</v>
      </c>
      <c r="E37" s="52">
        <v>281</v>
      </c>
      <c r="F37" s="52">
        <v>209</v>
      </c>
      <c r="G37" s="52">
        <v>228</v>
      </c>
      <c r="H37" s="52">
        <v>214</v>
      </c>
      <c r="I37" s="52">
        <v>1473</v>
      </c>
      <c r="J37" s="52">
        <v>159</v>
      </c>
      <c r="K37" s="52">
        <v>617</v>
      </c>
      <c r="L37" s="52">
        <v>391</v>
      </c>
      <c r="M37" s="52">
        <v>385</v>
      </c>
      <c r="N37" s="52">
        <v>183</v>
      </c>
      <c r="O37" s="52">
        <v>526</v>
      </c>
      <c r="P37" s="52">
        <v>594</v>
      </c>
      <c r="Q37" s="52">
        <v>60</v>
      </c>
      <c r="R37" s="52">
        <v>549</v>
      </c>
      <c r="S37" s="52">
        <v>247</v>
      </c>
      <c r="T37" s="52">
        <v>223</v>
      </c>
      <c r="U37" s="52">
        <v>439</v>
      </c>
      <c r="V37" s="52">
        <v>6930</v>
      </c>
      <c r="W37" s="52">
        <v>3596</v>
      </c>
      <c r="X37" s="52">
        <v>323</v>
      </c>
      <c r="Y37" s="52">
        <v>370039</v>
      </c>
      <c r="Z37" s="52">
        <v>4589</v>
      </c>
      <c r="AA37" s="52">
        <v>537</v>
      </c>
      <c r="AB37" s="52">
        <v>25315</v>
      </c>
      <c r="AC37" s="52">
        <v>1800</v>
      </c>
      <c r="AD37" s="52">
        <v>27813</v>
      </c>
      <c r="AE37" s="52">
        <v>864</v>
      </c>
      <c r="AF37" s="52">
        <v>1077</v>
      </c>
      <c r="AG37" s="52">
        <v>332830</v>
      </c>
      <c r="AH37" s="52">
        <v>7955</v>
      </c>
      <c r="AI37" s="52">
        <v>0</v>
      </c>
      <c r="AJ37" s="18">
        <v>790597</v>
      </c>
      <c r="AK37" s="52">
        <v>4047595</v>
      </c>
      <c r="AL37" s="52">
        <v>0</v>
      </c>
      <c r="AM37" s="52">
        <v>93470</v>
      </c>
      <c r="AN37" s="52">
        <v>0</v>
      </c>
      <c r="AO37" s="52">
        <v>0</v>
      </c>
      <c r="AP37" s="52">
        <v>1146</v>
      </c>
      <c r="AQ37" s="52">
        <v>0</v>
      </c>
      <c r="AR37" s="19">
        <v>4142211</v>
      </c>
      <c r="AS37" s="19">
        <v>4932808</v>
      </c>
    </row>
    <row r="38" spans="1:46" ht="13.5" customHeight="1">
      <c r="A38" s="44" t="s">
        <v>86</v>
      </c>
      <c r="B38" s="15" t="s">
        <v>87</v>
      </c>
      <c r="C38" s="52">
        <v>11930</v>
      </c>
      <c r="D38" s="52">
        <v>930</v>
      </c>
      <c r="E38" s="52">
        <v>10478</v>
      </c>
      <c r="F38" s="52">
        <v>2791</v>
      </c>
      <c r="G38" s="52">
        <v>6627</v>
      </c>
      <c r="H38" s="52">
        <v>15782</v>
      </c>
      <c r="I38" s="52">
        <v>38628</v>
      </c>
      <c r="J38" s="52">
        <v>3537</v>
      </c>
      <c r="K38" s="52">
        <v>12820</v>
      </c>
      <c r="L38" s="52">
        <v>13018</v>
      </c>
      <c r="M38" s="52">
        <v>96628</v>
      </c>
      <c r="N38" s="52">
        <v>36205</v>
      </c>
      <c r="O38" s="52">
        <v>42155</v>
      </c>
      <c r="P38" s="52">
        <v>25877</v>
      </c>
      <c r="Q38" s="52">
        <v>1648</v>
      </c>
      <c r="R38" s="52">
        <v>16649</v>
      </c>
      <c r="S38" s="52">
        <v>12404</v>
      </c>
      <c r="T38" s="52">
        <v>8014</v>
      </c>
      <c r="U38" s="52">
        <v>18438</v>
      </c>
      <c r="V38" s="52">
        <v>429832</v>
      </c>
      <c r="W38" s="52">
        <v>29278</v>
      </c>
      <c r="X38" s="52">
        <v>22785</v>
      </c>
      <c r="Y38" s="52">
        <v>55634</v>
      </c>
      <c r="Z38" s="52">
        <v>30792</v>
      </c>
      <c r="AA38" s="52">
        <v>46684</v>
      </c>
      <c r="AB38" s="52">
        <v>149779</v>
      </c>
      <c r="AC38" s="52">
        <v>43650</v>
      </c>
      <c r="AD38" s="52">
        <v>30051</v>
      </c>
      <c r="AE38" s="52">
        <v>12109</v>
      </c>
      <c r="AF38" s="52">
        <v>12248</v>
      </c>
      <c r="AG38" s="52">
        <v>13947</v>
      </c>
      <c r="AH38" s="52">
        <v>55888</v>
      </c>
      <c r="AI38" s="52">
        <v>93</v>
      </c>
      <c r="AJ38" s="18">
        <v>1307329</v>
      </c>
      <c r="AK38" s="52">
        <v>348870</v>
      </c>
      <c r="AL38" s="52">
        <v>0</v>
      </c>
      <c r="AM38" s="52">
        <v>0</v>
      </c>
      <c r="AN38" s="52">
        <v>0</v>
      </c>
      <c r="AO38" s="52">
        <v>0</v>
      </c>
      <c r="AP38" s="52">
        <v>0</v>
      </c>
      <c r="AQ38" s="52">
        <v>0</v>
      </c>
      <c r="AR38" s="19">
        <v>348870</v>
      </c>
      <c r="AS38" s="19">
        <v>1656199</v>
      </c>
    </row>
    <row r="39" spans="1:46" ht="13.5" customHeight="1">
      <c r="A39" s="44" t="s">
        <v>88</v>
      </c>
      <c r="B39" s="15" t="s">
        <v>89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18">
        <v>0</v>
      </c>
      <c r="AK39" s="52">
        <v>0</v>
      </c>
      <c r="AL39" s="52">
        <v>0</v>
      </c>
      <c r="AM39" s="52">
        <v>0</v>
      </c>
      <c r="AN39" s="52">
        <v>0</v>
      </c>
      <c r="AO39" s="52">
        <v>0</v>
      </c>
      <c r="AP39" s="52">
        <v>0</v>
      </c>
      <c r="AQ39" s="52">
        <v>0</v>
      </c>
      <c r="AR39" s="19">
        <v>0</v>
      </c>
      <c r="AS39" s="19">
        <v>0</v>
      </c>
    </row>
    <row r="40" spans="1:46" ht="13.5" customHeight="1">
      <c r="A40" s="46" t="s">
        <v>91</v>
      </c>
      <c r="B40" s="16" t="s">
        <v>20</v>
      </c>
      <c r="C40" s="48">
        <v>2537110</v>
      </c>
      <c r="D40" s="48">
        <v>37182</v>
      </c>
      <c r="E40" s="48">
        <v>26113673</v>
      </c>
      <c r="F40" s="48">
        <v>21923172</v>
      </c>
      <c r="G40" s="48">
        <v>6243731</v>
      </c>
      <c r="H40" s="48">
        <v>114342467</v>
      </c>
      <c r="I40" s="48">
        <v>97479274</v>
      </c>
      <c r="J40" s="48">
        <v>4224953</v>
      </c>
      <c r="K40" s="48">
        <v>66807765</v>
      </c>
      <c r="L40" s="48">
        <v>9691394</v>
      </c>
      <c r="M40" s="48">
        <v>92907910</v>
      </c>
      <c r="N40" s="48">
        <v>40726894</v>
      </c>
      <c r="O40" s="48">
        <v>26114545</v>
      </c>
      <c r="P40" s="48">
        <v>41654834</v>
      </c>
      <c r="Q40" s="48">
        <v>3136916</v>
      </c>
      <c r="R40" s="48">
        <v>2430573</v>
      </c>
      <c r="S40" s="48">
        <v>72452504</v>
      </c>
      <c r="T40" s="48">
        <v>805057</v>
      </c>
      <c r="U40" s="48">
        <v>12126825</v>
      </c>
      <c r="V40" s="48">
        <v>12328235</v>
      </c>
      <c r="W40" s="48">
        <v>42048502</v>
      </c>
      <c r="X40" s="48">
        <v>12450858</v>
      </c>
      <c r="Y40" s="48">
        <v>19810926</v>
      </c>
      <c r="Z40" s="48">
        <v>8486736</v>
      </c>
      <c r="AA40" s="48">
        <v>1588189</v>
      </c>
      <c r="AB40" s="48">
        <v>13732996</v>
      </c>
      <c r="AC40" s="48">
        <v>4342416</v>
      </c>
      <c r="AD40" s="48">
        <v>6395182</v>
      </c>
      <c r="AE40" s="48">
        <v>2332323</v>
      </c>
      <c r="AF40" s="48">
        <v>13887366</v>
      </c>
      <c r="AG40" s="48">
        <v>2081984</v>
      </c>
      <c r="AH40" s="48">
        <v>2956650</v>
      </c>
      <c r="AI40" s="48">
        <v>6405</v>
      </c>
      <c r="AJ40" s="48">
        <v>784205547</v>
      </c>
      <c r="AK40" s="48">
        <v>137512038</v>
      </c>
      <c r="AL40" s="48">
        <v>0</v>
      </c>
      <c r="AM40" s="48">
        <v>80240126</v>
      </c>
      <c r="AN40" s="48">
        <v>9439880</v>
      </c>
      <c r="AO40" s="48">
        <v>325089</v>
      </c>
      <c r="AP40" s="48">
        <v>848849</v>
      </c>
      <c r="AQ40" s="48">
        <v>3385758</v>
      </c>
      <c r="AR40" s="48">
        <v>231751740</v>
      </c>
      <c r="AS40" s="48">
        <v>1015957287</v>
      </c>
      <c r="AT40" s="9"/>
    </row>
  </sheetData>
  <mergeCells count="1">
    <mergeCell ref="A5:B6"/>
  </mergeCells>
  <phoneticPr fontId="19" type="noConversion"/>
  <conditionalFormatting sqref="C1:AI1">
    <cfRule type="cellIs" dxfId="1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41F6-C9CB-4F98-A3FA-C7935AB9A5DC}">
  <sheetPr>
    <tabColor theme="5" tint="0.79998168889431442"/>
  </sheetPr>
  <dimension ref="A1:AJ46"/>
  <sheetViews>
    <sheetView zoomScaleNormal="100" workbookViewId="0">
      <pane xSplit="2" ySplit="6" topLeftCell="C7" activePane="bottomRight" state="frozen"/>
      <selection activeCell="D27" sqref="D27"/>
      <selection pane="topRight" activeCell="D27" sqref="D27"/>
      <selection pane="bottomLeft" activeCell="D27" sqref="D27"/>
      <selection pane="bottomRight" activeCell="C7" sqref="C7"/>
    </sheetView>
  </sheetViews>
  <sheetFormatPr defaultColWidth="18.625" defaultRowHeight="13.5" customHeight="1"/>
  <cols>
    <col min="1" max="1" width="5.625" style="123" customWidth="1"/>
    <col min="2" max="2" width="21.75" style="123" customWidth="1"/>
    <col min="3" max="16384" width="18.625" style="123"/>
  </cols>
  <sheetData>
    <row r="1" spans="1:36" ht="13.5" customHeight="1">
      <c r="A1" s="123" t="s">
        <v>148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 spans="1:36" ht="13.5" customHeight="1">
      <c r="A2" s="123" t="s">
        <v>132</v>
      </c>
      <c r="B2" s="129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1:36" ht="13.5" customHeight="1">
      <c r="A3" s="123" t="s">
        <v>147</v>
      </c>
    </row>
    <row r="4" spans="1:36" s="132" customFormat="1" ht="13.5" customHeight="1">
      <c r="A4" s="123"/>
      <c r="B4" s="131"/>
      <c r="AJ4" s="123"/>
    </row>
    <row r="5" spans="1:36" s="132" customFormat="1" ht="13.5" customHeight="1">
      <c r="A5" s="186" t="s">
        <v>25</v>
      </c>
      <c r="B5" s="187"/>
      <c r="C5" s="133" t="s">
        <v>44</v>
      </c>
      <c r="D5" s="133" t="s">
        <v>45</v>
      </c>
      <c r="E5" s="133" t="s">
        <v>46</v>
      </c>
      <c r="F5" s="134" t="s">
        <v>47</v>
      </c>
      <c r="G5" s="135" t="s">
        <v>48</v>
      </c>
      <c r="H5" s="135" t="s">
        <v>49</v>
      </c>
      <c r="I5" s="135" t="s">
        <v>50</v>
      </c>
      <c r="J5" s="135" t="s">
        <v>51</v>
      </c>
      <c r="K5" s="135" t="s">
        <v>52</v>
      </c>
      <c r="L5" s="135" t="s">
        <v>53</v>
      </c>
      <c r="M5" s="135" t="s">
        <v>55</v>
      </c>
      <c r="N5" s="135" t="s">
        <v>57</v>
      </c>
      <c r="O5" s="135" t="s">
        <v>59</v>
      </c>
      <c r="P5" s="135" t="s">
        <v>60</v>
      </c>
      <c r="Q5" s="135" t="s">
        <v>61</v>
      </c>
      <c r="R5" s="135" t="s">
        <v>63</v>
      </c>
      <c r="S5" s="135" t="s">
        <v>65</v>
      </c>
      <c r="T5" s="135" t="s">
        <v>66</v>
      </c>
      <c r="U5" s="135" t="s">
        <v>68</v>
      </c>
      <c r="V5" s="135" t="s">
        <v>69</v>
      </c>
      <c r="W5" s="135" t="s">
        <v>71</v>
      </c>
      <c r="X5" s="135" t="s">
        <v>72</v>
      </c>
      <c r="Y5" s="135" t="s">
        <v>73</v>
      </c>
      <c r="Z5" s="135" t="s">
        <v>74</v>
      </c>
      <c r="AA5" s="135" t="s">
        <v>75</v>
      </c>
      <c r="AB5" s="135" t="s">
        <v>77</v>
      </c>
      <c r="AC5" s="135" t="s">
        <v>78</v>
      </c>
      <c r="AD5" s="135" t="s">
        <v>79</v>
      </c>
      <c r="AE5" s="135" t="s">
        <v>81</v>
      </c>
      <c r="AF5" s="135" t="s">
        <v>82</v>
      </c>
      <c r="AG5" s="135" t="s">
        <v>84</v>
      </c>
      <c r="AH5" s="135" t="s">
        <v>86</v>
      </c>
      <c r="AI5" s="135" t="s">
        <v>88</v>
      </c>
      <c r="AJ5" s="136" t="s">
        <v>98</v>
      </c>
    </row>
    <row r="6" spans="1:36" ht="39.950000000000003" customHeight="1">
      <c r="A6" s="188"/>
      <c r="B6" s="189"/>
      <c r="C6" s="137" t="s">
        <v>2</v>
      </c>
      <c r="D6" s="137" t="s">
        <v>3</v>
      </c>
      <c r="E6" s="137" t="s">
        <v>4</v>
      </c>
      <c r="F6" s="137" t="s">
        <v>5</v>
      </c>
      <c r="G6" s="137" t="s">
        <v>6</v>
      </c>
      <c r="H6" s="137" t="s">
        <v>7</v>
      </c>
      <c r="I6" s="137" t="s">
        <v>8</v>
      </c>
      <c r="J6" s="137" t="s">
        <v>9</v>
      </c>
      <c r="K6" s="137" t="s">
        <v>10</v>
      </c>
      <c r="L6" s="137" t="s">
        <v>54</v>
      </c>
      <c r="M6" s="137" t="s">
        <v>56</v>
      </c>
      <c r="N6" s="137" t="s">
        <v>58</v>
      </c>
      <c r="O6" s="137" t="s">
        <v>11</v>
      </c>
      <c r="P6" s="137" t="s">
        <v>12</v>
      </c>
      <c r="Q6" s="137" t="s">
        <v>135</v>
      </c>
      <c r="R6" s="137" t="s">
        <v>64</v>
      </c>
      <c r="S6" s="137" t="s">
        <v>13</v>
      </c>
      <c r="T6" s="137" t="s">
        <v>67</v>
      </c>
      <c r="U6" s="137" t="s">
        <v>14</v>
      </c>
      <c r="V6" s="137" t="s">
        <v>70</v>
      </c>
      <c r="W6" s="137" t="s">
        <v>42</v>
      </c>
      <c r="X6" s="137" t="s">
        <v>15</v>
      </c>
      <c r="Y6" s="137" t="s">
        <v>136</v>
      </c>
      <c r="Z6" s="137" t="s">
        <v>137</v>
      </c>
      <c r="AA6" s="137" t="s">
        <v>76</v>
      </c>
      <c r="AB6" s="137" t="s">
        <v>43</v>
      </c>
      <c r="AC6" s="137" t="s">
        <v>18</v>
      </c>
      <c r="AD6" s="137" t="s">
        <v>80</v>
      </c>
      <c r="AE6" s="137" t="s">
        <v>19</v>
      </c>
      <c r="AF6" s="137" t="s">
        <v>138</v>
      </c>
      <c r="AG6" s="137" t="s">
        <v>85</v>
      </c>
      <c r="AH6" s="137" t="s">
        <v>87</v>
      </c>
      <c r="AI6" s="137" t="s">
        <v>89</v>
      </c>
      <c r="AJ6" s="138" t="s">
        <v>26</v>
      </c>
    </row>
    <row r="7" spans="1:36" ht="13.5" customHeight="1">
      <c r="A7" s="139" t="s">
        <v>44</v>
      </c>
      <c r="B7" s="140" t="s">
        <v>2</v>
      </c>
      <c r="C7" s="141">
        <v>5.746485708976698E-2</v>
      </c>
      <c r="D7" s="141">
        <v>6.5201103068244137E-4</v>
      </c>
      <c r="E7" s="141">
        <v>0.2455501549124621</v>
      </c>
      <c r="F7" s="141">
        <v>3.769148370928419E-3</v>
      </c>
      <c r="G7" s="141">
        <v>1.1815633492973611E-2</v>
      </c>
      <c r="H7" s="141">
        <v>2.380453894278147E-5</v>
      </c>
      <c r="I7" s="141">
        <v>3.5222162892547221E-3</v>
      </c>
      <c r="J7" s="141">
        <v>7.1103207781673567E-5</v>
      </c>
      <c r="K7" s="141">
        <v>3.3668733183090497E-5</v>
      </c>
      <c r="L7" s="141">
        <v>5.4167750987701223E-5</v>
      </c>
      <c r="M7" s="141">
        <v>2.2944749112926549E-5</v>
      </c>
      <c r="N7" s="141">
        <v>1.205185374326438E-5</v>
      </c>
      <c r="O7" s="141">
        <v>3.7561318232012087E-5</v>
      </c>
      <c r="P7" s="141">
        <v>7.2137130811055576E-6</v>
      </c>
      <c r="Q7" s="141">
        <v>5.126580553150372E-4</v>
      </c>
      <c r="R7" s="141">
        <v>5.6020053242536597E-3</v>
      </c>
      <c r="S7" s="141">
        <v>2.4729889740688881E-5</v>
      </c>
      <c r="T7" s="141">
        <v>3.0476791082661747E-4</v>
      </c>
      <c r="U7" s="141">
        <v>1.178091409342822E-3</v>
      </c>
      <c r="V7" s="141">
        <v>2.6195704274749109E-4</v>
      </c>
      <c r="W7" s="141">
        <v>5.9218334886111912E-5</v>
      </c>
      <c r="X7" s="141">
        <v>5.9976725942352968E-2</v>
      </c>
      <c r="Y7" s="141">
        <v>6.6064195589377115E-5</v>
      </c>
      <c r="Z7" s="141">
        <v>5.1237710483804538E-5</v>
      </c>
      <c r="AA7" s="141">
        <v>2.6073255797693051E-5</v>
      </c>
      <c r="AB7" s="141">
        <v>2.051137242836117E-4</v>
      </c>
      <c r="AC7" s="141">
        <v>1.4256713814576909E-4</v>
      </c>
      <c r="AD7" s="141">
        <v>1.645458922747694E-3</v>
      </c>
      <c r="AE7" s="141">
        <v>4.643168699612581E-3</v>
      </c>
      <c r="AF7" s="141">
        <v>4.1294320433185117E-3</v>
      </c>
      <c r="AG7" s="141">
        <v>1.113621494100389E-3</v>
      </c>
      <c r="AH7" s="141">
        <v>8.8981492244220492E-4</v>
      </c>
      <c r="AI7" s="141">
        <v>6.782923924279063E-4</v>
      </c>
      <c r="AJ7" s="142">
        <v>1.176539666783346E-2</v>
      </c>
    </row>
    <row r="8" spans="1:36" ht="13.5" customHeight="1">
      <c r="A8" s="139" t="s">
        <v>45</v>
      </c>
      <c r="B8" s="140" t="s">
        <v>3</v>
      </c>
      <c r="C8" s="141">
        <v>2.774474922520256E-5</v>
      </c>
      <c r="D8" s="141">
        <v>5.6302363403876805E-4</v>
      </c>
      <c r="E8" s="141">
        <v>2.6701397892359353E-4</v>
      </c>
      <c r="F8" s="141">
        <v>5.1197156858824098E-5</v>
      </c>
      <c r="G8" s="141">
        <v>6.2524674332727667E-4</v>
      </c>
      <c r="H8" s="141">
        <v>0.61206140476820037</v>
      </c>
      <c r="I8" s="141">
        <v>2.304461714346185E-2</v>
      </c>
      <c r="J8" s="141">
        <v>0.1024676708627396</v>
      </c>
      <c r="K8" s="141">
        <v>0.1731793058010607</v>
      </c>
      <c r="L8" s="141">
        <v>2.9700919619180828E-4</v>
      </c>
      <c r="M8" s="141">
        <v>1.1751601334302509E-4</v>
      </c>
      <c r="N8" s="141">
        <v>5.087595703628755E-5</v>
      </c>
      <c r="O8" s="141">
        <v>8.8169628012964808E-5</v>
      </c>
      <c r="P8" s="141">
        <v>1.7209688855499359E-5</v>
      </c>
      <c r="Q8" s="141">
        <v>1.3077306506048089E-4</v>
      </c>
      <c r="R8" s="141">
        <v>7.9444393366686532E-4</v>
      </c>
      <c r="S8" s="141">
        <v>0.45222717347447372</v>
      </c>
      <c r="T8" s="141">
        <v>1.282015702760495E-3</v>
      </c>
      <c r="U8" s="141">
        <v>8.1519806758974104E-4</v>
      </c>
      <c r="V8" s="141">
        <v>0</v>
      </c>
      <c r="W8" s="141">
        <v>0</v>
      </c>
      <c r="X8" s="141">
        <v>6.842892253400801E-5</v>
      </c>
      <c r="Y8" s="141">
        <v>0</v>
      </c>
      <c r="Z8" s="141">
        <v>0</v>
      </c>
      <c r="AA8" s="141">
        <v>5.1874263686675884E-7</v>
      </c>
      <c r="AB8" s="141">
        <v>4.8479687786762237E-5</v>
      </c>
      <c r="AC8" s="141">
        <v>9.2952055559801023E-5</v>
      </c>
      <c r="AD8" s="141">
        <v>8.2772315078707089E-5</v>
      </c>
      <c r="AE8" s="141">
        <v>6.9522286710208434E-6</v>
      </c>
      <c r="AF8" s="141">
        <v>7.6303482577734247E-5</v>
      </c>
      <c r="AG8" s="141">
        <v>3.7403042465482439E-5</v>
      </c>
      <c r="AH8" s="141">
        <v>2.9669075834023031E-5</v>
      </c>
      <c r="AI8" s="141">
        <v>6.7729636835679338E-6</v>
      </c>
      <c r="AJ8" s="142">
        <v>3.8792643490780133E-2</v>
      </c>
    </row>
    <row r="9" spans="1:36" ht="13.5" customHeight="1">
      <c r="A9" s="139" t="s">
        <v>46</v>
      </c>
      <c r="B9" s="140" t="s">
        <v>4</v>
      </c>
      <c r="C9" s="141">
        <v>0.1821418619675369</v>
      </c>
      <c r="D9" s="141">
        <v>3.0390885587927899E-3</v>
      </c>
      <c r="E9" s="141">
        <v>0.20432354635705499</v>
      </c>
      <c r="F9" s="141">
        <v>1.8070529670790599E-2</v>
      </c>
      <c r="G9" s="141">
        <v>1.56676768660276E-3</v>
      </c>
      <c r="H9" s="141">
        <v>1.6847813940778499E-4</v>
      </c>
      <c r="I9" s="141">
        <v>5.1747698563035247E-3</v>
      </c>
      <c r="J9" s="141">
        <v>6.3654487674827517E-4</v>
      </c>
      <c r="K9" s="141">
        <v>4.07662126128025E-4</v>
      </c>
      <c r="L9" s="141">
        <v>7.779598369200729E-4</v>
      </c>
      <c r="M9" s="141">
        <v>8.8983601833696321E-5</v>
      </c>
      <c r="N9" s="141">
        <v>1.3731703866364919E-4</v>
      </c>
      <c r="O9" s="141">
        <v>4.3583960487930098E-4</v>
      </c>
      <c r="P9" s="141">
        <v>-4.4919601521489548E-5</v>
      </c>
      <c r="Q9" s="141">
        <v>3.7922461350167459E-4</v>
      </c>
      <c r="R9" s="141">
        <v>6.6336233746512223E-3</v>
      </c>
      <c r="S9" s="141">
        <v>1.0992056899184329E-2</v>
      </c>
      <c r="T9" s="141">
        <v>1.808511300025694E-3</v>
      </c>
      <c r="U9" s="141">
        <v>8.7304664870368589E-5</v>
      </c>
      <c r="V9" s="141">
        <v>5.3904869191319536E-3</v>
      </c>
      <c r="W9" s="141">
        <v>1.073881558565638E-3</v>
      </c>
      <c r="X9" s="141">
        <v>0.27994743746959688</v>
      </c>
      <c r="Y9" s="141">
        <v>1.4738059930761219E-3</v>
      </c>
      <c r="Z9" s="141">
        <v>7.1979175622693416E-4</v>
      </c>
      <c r="AA9" s="141">
        <v>7.6119043665058447E-5</v>
      </c>
      <c r="AB9" s="141">
        <v>4.7239412962823014E-3</v>
      </c>
      <c r="AC9" s="141">
        <v>5.0589298292778272E-3</v>
      </c>
      <c r="AD9" s="141">
        <v>5.8197241391179369E-3</v>
      </c>
      <c r="AE9" s="141">
        <v>2.0675169996083358E-2</v>
      </c>
      <c r="AF9" s="141">
        <v>1.5180769963649249E-2</v>
      </c>
      <c r="AG9" s="141">
        <v>4.2760255508529223E-2</v>
      </c>
      <c r="AH9" s="141">
        <v>1.347418444201948E-2</v>
      </c>
      <c r="AI9" s="141">
        <v>1.090985006052838E-2</v>
      </c>
      <c r="AJ9" s="142">
        <v>2.3573901536678241E-2</v>
      </c>
    </row>
    <row r="10" spans="1:36" ht="13.5" customHeight="1">
      <c r="A10" s="139" t="s">
        <v>47</v>
      </c>
      <c r="B10" s="140" t="s">
        <v>5</v>
      </c>
      <c r="C10" s="141">
        <v>9.3247874465311083E-3</v>
      </c>
      <c r="D10" s="141">
        <v>3.5221361781264848E-3</v>
      </c>
      <c r="E10" s="141">
        <v>8.3655278933305959E-4</v>
      </c>
      <c r="F10" s="141">
        <v>0.31274145296105849</v>
      </c>
      <c r="G10" s="141">
        <v>1.0905818520521559E-2</v>
      </c>
      <c r="H10" s="141">
        <v>5.6748027216534189E-4</v>
      </c>
      <c r="I10" s="141">
        <v>4.4450437064368154E-3</v>
      </c>
      <c r="J10" s="141">
        <v>3.2917401209628079E-3</v>
      </c>
      <c r="K10" s="141">
        <v>9.4597623776393502E-4</v>
      </c>
      <c r="L10" s="141">
        <v>2.9248751328056349E-3</v>
      </c>
      <c r="M10" s="141">
        <v>1.240076450728353E-3</v>
      </c>
      <c r="N10" s="141">
        <v>1.0179532853130441E-3</v>
      </c>
      <c r="O10" s="141">
        <v>8.0169989145064768E-4</v>
      </c>
      <c r="P10" s="141">
        <v>3.661979749392938E-3</v>
      </c>
      <c r="Q10" s="141">
        <v>5.8892380124719153E-2</v>
      </c>
      <c r="R10" s="141">
        <v>2.7701211644764641E-2</v>
      </c>
      <c r="S10" s="141">
        <v>3.0637768758719078E-4</v>
      </c>
      <c r="T10" s="141">
        <v>6.2315097339602698E-3</v>
      </c>
      <c r="U10" s="141">
        <v>5.3695626859108481E-4</v>
      </c>
      <c r="V10" s="141">
        <v>4.52433606980832E-3</v>
      </c>
      <c r="W10" s="141">
        <v>8.793836841399616E-3</v>
      </c>
      <c r="X10" s="141">
        <v>7.0647297917502726E-3</v>
      </c>
      <c r="Y10" s="141">
        <v>1.1481986510508469E-3</v>
      </c>
      <c r="Z10" s="141">
        <v>4.6466840086521022E-4</v>
      </c>
      <c r="AA10" s="141">
        <v>6.4608843567885807E-4</v>
      </c>
      <c r="AB10" s="141">
        <v>1.5584656488068891E-3</v>
      </c>
      <c r="AC10" s="141">
        <v>8.1659496455695306E-3</v>
      </c>
      <c r="AD10" s="141">
        <v>3.4032524069471889E-3</v>
      </c>
      <c r="AE10" s="141">
        <v>1.3778436048797181E-3</v>
      </c>
      <c r="AF10" s="141">
        <v>4.1939263276597211E-3</v>
      </c>
      <c r="AG10" s="141">
        <v>8.6004895872789106E-3</v>
      </c>
      <c r="AH10" s="141">
        <v>1.058447037727827E-2</v>
      </c>
      <c r="AI10" s="141">
        <v>3.4755263937414631E-3</v>
      </c>
      <c r="AJ10" s="142">
        <v>7.5369612476805636E-3</v>
      </c>
    </row>
    <row r="11" spans="1:36" ht="13.5" customHeight="1">
      <c r="A11" s="139" t="s">
        <v>48</v>
      </c>
      <c r="B11" s="140" t="s">
        <v>6</v>
      </c>
      <c r="C11" s="141">
        <v>1.16921773672809E-2</v>
      </c>
      <c r="D11" s="141">
        <v>2.0878245528993459E-3</v>
      </c>
      <c r="E11" s="141">
        <v>2.0368481155001311E-2</v>
      </c>
      <c r="F11" s="141">
        <v>5.9228354513401384E-3</v>
      </c>
      <c r="G11" s="141">
        <v>0.3078568181208764</v>
      </c>
      <c r="H11" s="141">
        <v>7.6012542743533209E-4</v>
      </c>
      <c r="I11" s="141">
        <v>5.303334989812101E-3</v>
      </c>
      <c r="J11" s="141">
        <v>8.3886635910102574E-3</v>
      </c>
      <c r="K11" s="141">
        <v>1.2686822646683219E-3</v>
      </c>
      <c r="L11" s="141">
        <v>7.7845213762321184E-3</v>
      </c>
      <c r="M11" s="141">
        <v>9.2550387785333727E-4</v>
      </c>
      <c r="N11" s="141">
        <v>3.3073134660010109E-3</v>
      </c>
      <c r="O11" s="141">
        <v>1.9048176355947551E-3</v>
      </c>
      <c r="P11" s="141">
        <v>3.5677031636323049E-4</v>
      </c>
      <c r="Q11" s="141">
        <v>6.5710683889922725E-2</v>
      </c>
      <c r="R11" s="141">
        <v>4.2187427364845671E-3</v>
      </c>
      <c r="S11" s="141">
        <v>5.2265181422848812E-3</v>
      </c>
      <c r="T11" s="141">
        <v>-1.643579203531566E-4</v>
      </c>
      <c r="U11" s="141">
        <v>1.7676943280973939E-2</v>
      </c>
      <c r="V11" s="141">
        <v>1.0790232614766859E-2</v>
      </c>
      <c r="W11" s="141">
        <v>6.6748149588642097E-3</v>
      </c>
      <c r="X11" s="141">
        <v>9.553021741660981E-3</v>
      </c>
      <c r="Y11" s="141">
        <v>9.1923092316302992E-3</v>
      </c>
      <c r="Z11" s="141">
        <v>6.8949469407159469E-3</v>
      </c>
      <c r="AA11" s="141">
        <v>8.3842790415683077E-4</v>
      </c>
      <c r="AB11" s="141">
        <v>1.425288482818556E-2</v>
      </c>
      <c r="AC11" s="141">
        <v>4.3788151469248112E-3</v>
      </c>
      <c r="AD11" s="141">
        <v>4.5080599060458694E-3</v>
      </c>
      <c r="AE11" s="141">
        <v>6.2222317020759182E-3</v>
      </c>
      <c r="AF11" s="141">
        <v>5.8920507043714468E-3</v>
      </c>
      <c r="AG11" s="141">
        <v>4.7694288674425198E-3</v>
      </c>
      <c r="AH11" s="141">
        <v>1.018997338422869E-2</v>
      </c>
      <c r="AI11" s="141">
        <v>1.9683427693333749E-3</v>
      </c>
      <c r="AJ11" s="142">
        <v>1.008121123217936E-2</v>
      </c>
    </row>
    <row r="12" spans="1:36" ht="13.5" customHeight="1">
      <c r="A12" s="139" t="s">
        <v>49</v>
      </c>
      <c r="B12" s="140" t="s">
        <v>7</v>
      </c>
      <c r="C12" s="141">
        <v>2.097692056748502E-2</v>
      </c>
      <c r="D12" s="141">
        <v>2.3948122976076468E-2</v>
      </c>
      <c r="E12" s="141">
        <v>2.0216898006685442E-3</v>
      </c>
      <c r="F12" s="141">
        <v>2.59510577415275E-3</v>
      </c>
      <c r="G12" s="141">
        <v>5.4662807535866579E-3</v>
      </c>
      <c r="H12" s="141">
        <v>4.8060724127164917E-2</v>
      </c>
      <c r="I12" s="141">
        <v>0.11654856964843591</v>
      </c>
      <c r="J12" s="141">
        <v>4.7404768329852152E-2</v>
      </c>
      <c r="K12" s="141">
        <v>3.759063773051748E-3</v>
      </c>
      <c r="L12" s="141">
        <v>3.8734967678734689E-3</v>
      </c>
      <c r="M12" s="141">
        <v>3.3849602278820701E-4</v>
      </c>
      <c r="N12" s="141">
        <v>2.9657748134745538E-3</v>
      </c>
      <c r="O12" s="141">
        <v>1.8209502800016471E-3</v>
      </c>
      <c r="P12" s="141">
        <v>1.402598540217953E-3</v>
      </c>
      <c r="Q12" s="141">
        <v>1.584962638463541E-3</v>
      </c>
      <c r="R12" s="141">
        <v>1.046482366637983E-2</v>
      </c>
      <c r="S12" s="141">
        <v>2.7108996115475601E-2</v>
      </c>
      <c r="T12" s="141">
        <v>1.6530578946587739E-2</v>
      </c>
      <c r="U12" s="141">
        <v>1.36967546113242E-2</v>
      </c>
      <c r="V12" s="141">
        <v>2.3970117360629161E-2</v>
      </c>
      <c r="W12" s="141">
        <v>0.111334533500628</v>
      </c>
      <c r="X12" s="141">
        <v>1.5543976144292039E-2</v>
      </c>
      <c r="Y12" s="141">
        <v>1.8520649690012931E-3</v>
      </c>
      <c r="Z12" s="141">
        <v>6.3331161139616049E-4</v>
      </c>
      <c r="AA12" s="141">
        <v>3.377441332994632E-3</v>
      </c>
      <c r="AB12" s="141">
        <v>1.2314026249878551E-2</v>
      </c>
      <c r="AC12" s="141">
        <v>6.3650468783534352E-3</v>
      </c>
      <c r="AD12" s="141">
        <v>1.6564208485738158E-2</v>
      </c>
      <c r="AE12" s="141">
        <v>1.683971679561971E-2</v>
      </c>
      <c r="AF12" s="141">
        <v>7.1374648123651869E-3</v>
      </c>
      <c r="AG12" s="141">
        <v>5.4678765901760538E-3</v>
      </c>
      <c r="AH12" s="141">
        <v>1.340130464276919E-2</v>
      </c>
      <c r="AI12" s="141">
        <v>4.4866900307353108E-3</v>
      </c>
      <c r="AJ12" s="142">
        <v>2.1415419438803061E-2</v>
      </c>
    </row>
    <row r="13" spans="1:36" ht="13.5" customHeight="1">
      <c r="A13" s="139" t="s">
        <v>50</v>
      </c>
      <c r="B13" s="140" t="s">
        <v>8</v>
      </c>
      <c r="C13" s="141">
        <v>7.2038546056871017E-2</v>
      </c>
      <c r="D13" s="141">
        <v>4.1170375757730499E-2</v>
      </c>
      <c r="E13" s="141">
        <v>2.5880355401296899E-2</v>
      </c>
      <c r="F13" s="141">
        <v>9.7202320531088973E-2</v>
      </c>
      <c r="G13" s="141">
        <v>6.7895944288610316E-2</v>
      </c>
      <c r="H13" s="141">
        <v>2.0037016143011548E-2</v>
      </c>
      <c r="I13" s="141">
        <v>0.34347804485560268</v>
      </c>
      <c r="J13" s="141">
        <v>5.0041489331646372E-2</v>
      </c>
      <c r="K13" s="141">
        <v>1.6169407808411331E-2</v>
      </c>
      <c r="L13" s="141">
        <v>6.609808258780836E-2</v>
      </c>
      <c r="M13" s="141">
        <v>6.3126454891114153E-2</v>
      </c>
      <c r="N13" s="141">
        <v>0.10074961893537709</v>
      </c>
      <c r="O13" s="141">
        <v>3.0032287584073641E-2</v>
      </c>
      <c r="P13" s="141">
        <v>6.4644423223907385E-2</v>
      </c>
      <c r="Q13" s="141">
        <v>0.1035881952380707</v>
      </c>
      <c r="R13" s="141">
        <v>2.0485680608828511E-2</v>
      </c>
      <c r="S13" s="141">
        <v>1.593611631948565E-2</v>
      </c>
      <c r="T13" s="141">
        <v>5.1791477407843532E-2</v>
      </c>
      <c r="U13" s="141">
        <v>3.5712566465274542E-2</v>
      </c>
      <c r="V13" s="141">
        <v>1.333954630613003E-2</v>
      </c>
      <c r="W13" s="141">
        <v>7.0550011893166266E-3</v>
      </c>
      <c r="X13" s="141">
        <v>2.1714651446667871E-2</v>
      </c>
      <c r="Y13" s="141">
        <v>3.7212254572051629E-3</v>
      </c>
      <c r="Z13" s="141">
        <v>5.2654509171398624E-4</v>
      </c>
      <c r="AA13" s="141">
        <v>1.021179831417252E-3</v>
      </c>
      <c r="AB13" s="141">
        <v>2.8896092431455949E-2</v>
      </c>
      <c r="AC13" s="141">
        <v>2.7663790128311529E-2</v>
      </c>
      <c r="AD13" s="141">
        <v>7.9720067446748914E-3</v>
      </c>
      <c r="AE13" s="141">
        <v>8.2304927768838618E-3</v>
      </c>
      <c r="AF13" s="141">
        <v>0.150336528154947</v>
      </c>
      <c r="AG13" s="141">
        <v>1.1718125911592899E-2</v>
      </c>
      <c r="AH13" s="141">
        <v>4.5694862072191943E-2</v>
      </c>
      <c r="AI13" s="141">
        <v>6.3657890432969669E-3</v>
      </c>
      <c r="AJ13" s="142">
        <v>5.57724351389879E-2</v>
      </c>
    </row>
    <row r="14" spans="1:36" ht="13.5" customHeight="1">
      <c r="A14" s="139" t="s">
        <v>51</v>
      </c>
      <c r="B14" s="140" t="s">
        <v>9</v>
      </c>
      <c r="C14" s="141">
        <v>4.943695778001179E-4</v>
      </c>
      <c r="D14" s="141">
        <v>1.674239669342359E-3</v>
      </c>
      <c r="E14" s="141">
        <v>4.9631638639985338E-3</v>
      </c>
      <c r="F14" s="141">
        <v>5.9270116114068516E-4</v>
      </c>
      <c r="G14" s="141">
        <v>1.0632390227091519E-3</v>
      </c>
      <c r="H14" s="141">
        <v>8.7170601789732054E-4</v>
      </c>
      <c r="I14" s="141">
        <v>4.3048118333599387E-3</v>
      </c>
      <c r="J14" s="141">
        <v>0.14996978802272559</v>
      </c>
      <c r="K14" s="141">
        <v>1.701779109848096E-2</v>
      </c>
      <c r="L14" s="141">
        <v>4.497405369863464E-3</v>
      </c>
      <c r="M14" s="141">
        <v>6.2135525021105066E-3</v>
      </c>
      <c r="N14" s="141">
        <v>1.0457888996719469E-2</v>
      </c>
      <c r="O14" s="141">
        <v>2.756527400437127E-3</v>
      </c>
      <c r="P14" s="141">
        <v>6.8236179018861523E-3</v>
      </c>
      <c r="Q14" s="141">
        <v>8.880441252161253E-3</v>
      </c>
      <c r="R14" s="141">
        <v>2.1028012764159531E-3</v>
      </c>
      <c r="S14" s="141">
        <v>-1.0021505971829949E-3</v>
      </c>
      <c r="T14" s="141">
        <v>4.4879760338878746E-3</v>
      </c>
      <c r="U14" s="141">
        <v>8.6967782644338118E-2</v>
      </c>
      <c r="V14" s="141">
        <v>3.013478276625265E-4</v>
      </c>
      <c r="W14" s="141">
        <v>3.4692451227745491E-4</v>
      </c>
      <c r="X14" s="141">
        <v>3.3170685546601211E-3</v>
      </c>
      <c r="Y14" s="141">
        <v>6.2578212172131518E-5</v>
      </c>
      <c r="Z14" s="141">
        <v>1.6869950143235229E-5</v>
      </c>
      <c r="AA14" s="141">
        <v>3.0978132985428957E-4</v>
      </c>
      <c r="AB14" s="141">
        <v>9.5868273344920782E-4</v>
      </c>
      <c r="AC14" s="141">
        <v>1.567164450078205E-3</v>
      </c>
      <c r="AD14" s="141">
        <v>1.634647079134288E-3</v>
      </c>
      <c r="AE14" s="141">
        <v>9.2500925090241448E-4</v>
      </c>
      <c r="AF14" s="141">
        <v>3.2567925260259688E-4</v>
      </c>
      <c r="AG14" s="141">
        <v>2.1905818242635359E-3</v>
      </c>
      <c r="AH14" s="141">
        <v>6.8806275579391034E-4</v>
      </c>
      <c r="AI14" s="141">
        <v>9.0996759136877418E-4</v>
      </c>
      <c r="AJ14" s="142">
        <v>9.2537920894810825E-3</v>
      </c>
    </row>
    <row r="15" spans="1:36" ht="13.5" customHeight="1">
      <c r="A15" s="139" t="s">
        <v>52</v>
      </c>
      <c r="B15" s="140" t="s">
        <v>10</v>
      </c>
      <c r="C15" s="141">
        <v>1.2300982222177279E-3</v>
      </c>
      <c r="D15" s="141">
        <v>1.5386934660159199E-3</v>
      </c>
      <c r="E15" s="141">
        <v>1.4385815352503331E-4</v>
      </c>
      <c r="F15" s="141">
        <v>3.8440626962207287E-5</v>
      </c>
      <c r="G15" s="141">
        <v>8.1621451917091882E-4</v>
      </c>
      <c r="H15" s="141">
        <v>3.1836064647894511E-3</v>
      </c>
      <c r="I15" s="141">
        <v>8.9975467400944462E-3</v>
      </c>
      <c r="J15" s="141">
        <v>1.777678566439711E-2</v>
      </c>
      <c r="K15" s="141">
        <v>0.32602882497965913</v>
      </c>
      <c r="L15" s="141">
        <v>0.1920434668505176</v>
      </c>
      <c r="M15" s="141">
        <v>2.097521537468041E-2</v>
      </c>
      <c r="N15" s="141">
        <v>0.1059921347935356</v>
      </c>
      <c r="O15" s="141">
        <v>7.2745393734024888E-2</v>
      </c>
      <c r="P15" s="141">
        <v>7.821753753253835E-2</v>
      </c>
      <c r="Q15" s="141">
        <v>6.1010731026961737E-2</v>
      </c>
      <c r="R15" s="141">
        <v>1.104713421065409E-2</v>
      </c>
      <c r="S15" s="141">
        <v>2.729175072587599E-3</v>
      </c>
      <c r="T15" s="141">
        <v>4.0844737508199964E-3</v>
      </c>
      <c r="U15" s="141">
        <v>7.5097699687900796E-2</v>
      </c>
      <c r="V15" s="141">
        <v>-1.798285929339237E-6</v>
      </c>
      <c r="W15" s="141">
        <v>5.9758532673813468E-4</v>
      </c>
      <c r="X15" s="141">
        <v>1.219116453976226E-4</v>
      </c>
      <c r="Y15" s="141">
        <v>-9.7277718592151749E-5</v>
      </c>
      <c r="Z15" s="141">
        <v>-2.9877478436427902E-7</v>
      </c>
      <c r="AA15" s="141">
        <v>-1.9645997736655969E-6</v>
      </c>
      <c r="AB15" s="141">
        <v>1.2234795528398229E-3</v>
      </c>
      <c r="AC15" s="141">
        <v>8.2391526808262562E-6</v>
      </c>
      <c r="AD15" s="141">
        <v>1.534886839912325E-5</v>
      </c>
      <c r="AE15" s="141">
        <v>-1.2749208160268139E-4</v>
      </c>
      <c r="AF15" s="141">
        <v>1.670485924733893E-3</v>
      </c>
      <c r="AG15" s="141">
        <v>-7.4836996536308253E-5</v>
      </c>
      <c r="AH15" s="141">
        <v>-3.6520781864094192E-4</v>
      </c>
      <c r="AI15" s="141">
        <v>1.8199351827375479E-3</v>
      </c>
      <c r="AJ15" s="142">
        <v>3.2603832500175019E-2</v>
      </c>
    </row>
    <row r="16" spans="1:36" ht="13.5" customHeight="1">
      <c r="A16" s="139" t="s">
        <v>53</v>
      </c>
      <c r="B16" s="140" t="s">
        <v>54</v>
      </c>
      <c r="C16" s="141">
        <v>1.052275306380675E-3</v>
      </c>
      <c r="D16" s="141">
        <v>2.21268851388607E-2</v>
      </c>
      <c r="E16" s="141">
        <v>1.299970237662014E-2</v>
      </c>
      <c r="F16" s="141">
        <v>3.5372645889305871E-3</v>
      </c>
      <c r="G16" s="141">
        <v>1.087941473062975E-2</v>
      </c>
      <c r="H16" s="141">
        <v>1.6425500011140501E-2</v>
      </c>
      <c r="I16" s="141">
        <v>7.0988711678059554E-3</v>
      </c>
      <c r="J16" s="141">
        <v>1.312680507514E-2</v>
      </c>
      <c r="K16" s="141">
        <v>8.2008665053124371E-3</v>
      </c>
      <c r="L16" s="141">
        <v>0.1535582885866722</v>
      </c>
      <c r="M16" s="141">
        <v>8.4592362080123055E-3</v>
      </c>
      <c r="N16" s="141">
        <v>3.024405750558801E-2</v>
      </c>
      <c r="O16" s="141">
        <v>0.10658080926747</v>
      </c>
      <c r="P16" s="141">
        <v>5.5862347476129268E-2</v>
      </c>
      <c r="Q16" s="141">
        <v>5.1514533482724431E-2</v>
      </c>
      <c r="R16" s="141">
        <v>1.330755570890361E-2</v>
      </c>
      <c r="S16" s="141">
        <v>5.7300888456396012E-3</v>
      </c>
      <c r="T16" s="141">
        <v>1.311085762297776E-2</v>
      </c>
      <c r="U16" s="141">
        <v>7.4440230898880203E-2</v>
      </c>
      <c r="V16" s="141">
        <v>2.893535379492506E-3</v>
      </c>
      <c r="W16" s="141">
        <v>4.8720280255877997E-3</v>
      </c>
      <c r="X16" s="141">
        <v>7.785910743190661E-3</v>
      </c>
      <c r="Y16" s="141">
        <v>1.1530313875885529E-3</v>
      </c>
      <c r="Z16" s="141">
        <v>6.1276110231510449E-4</v>
      </c>
      <c r="AA16" s="141">
        <v>7.3882931787841314E-4</v>
      </c>
      <c r="AB16" s="141">
        <v>3.5068351749092258E-3</v>
      </c>
      <c r="AC16" s="141">
        <v>7.6324281297117866E-3</v>
      </c>
      <c r="AD16" s="141">
        <v>8.6008117206348555E-3</v>
      </c>
      <c r="AE16" s="141">
        <v>3.0721140425708478E-3</v>
      </c>
      <c r="AF16" s="141">
        <v>1.623609613495939E-3</v>
      </c>
      <c r="AG16" s="141">
        <v>3.9508741021473072E-3</v>
      </c>
      <c r="AH16" s="141">
        <v>1.168120902770787E-2</v>
      </c>
      <c r="AI16" s="141">
        <v>3.1462408358315279E-3</v>
      </c>
      <c r="AJ16" s="142">
        <v>2.0578325343040011E-2</v>
      </c>
    </row>
    <row r="17" spans="1:36" ht="13.5" customHeight="1">
      <c r="A17" s="139" t="s">
        <v>55</v>
      </c>
      <c r="B17" s="140" t="s">
        <v>56</v>
      </c>
      <c r="C17" s="141">
        <v>2.4527843435475549E-3</v>
      </c>
      <c r="D17" s="141">
        <v>2.500846225085172E-3</v>
      </c>
      <c r="E17" s="141">
        <v>9.8422683808479443E-4</v>
      </c>
      <c r="F17" s="141">
        <v>5.9308599500348816E-4</v>
      </c>
      <c r="G17" s="141">
        <v>4.1003711062488147E-3</v>
      </c>
      <c r="H17" s="141">
        <v>4.6556195708674268E-3</v>
      </c>
      <c r="I17" s="141">
        <v>1.9386568568627899E-3</v>
      </c>
      <c r="J17" s="141">
        <v>1.853621671596673E-3</v>
      </c>
      <c r="K17" s="141">
        <v>2.4691828693819071E-3</v>
      </c>
      <c r="L17" s="141">
        <v>8.288781097942087E-3</v>
      </c>
      <c r="M17" s="141">
        <v>0.34736626017605721</v>
      </c>
      <c r="N17" s="141">
        <v>8.3112390881882353E-2</v>
      </c>
      <c r="O17" s="141">
        <v>4.7897759547428552E-2</v>
      </c>
      <c r="P17" s="141">
        <v>3.395148299213939E-2</v>
      </c>
      <c r="Q17" s="141">
        <v>5.1944719858700132E-3</v>
      </c>
      <c r="R17" s="141">
        <v>2.4604529024620281E-2</v>
      </c>
      <c r="S17" s="141">
        <v>7.7382270956784993E-3</v>
      </c>
      <c r="T17" s="141">
        <v>1.075575456075286E-2</v>
      </c>
      <c r="U17" s="141">
        <v>3.4645421142652419E-3</v>
      </c>
      <c r="V17" s="141">
        <v>7.8073277210805158E-3</v>
      </c>
      <c r="W17" s="141">
        <v>3.9451797159157243E-3</v>
      </c>
      <c r="X17" s="141">
        <v>6.8164637609812329E-3</v>
      </c>
      <c r="Y17" s="141">
        <v>4.5841085046557137E-2</v>
      </c>
      <c r="Z17" s="141">
        <v>2.616989986593413E-3</v>
      </c>
      <c r="AA17" s="141">
        <v>2.3232974304686839E-3</v>
      </c>
      <c r="AB17" s="141">
        <v>3.8483198094009442E-2</v>
      </c>
      <c r="AC17" s="141">
        <v>1.121059027562675E-2</v>
      </c>
      <c r="AD17" s="141">
        <v>5.4382931576497278E-3</v>
      </c>
      <c r="AE17" s="141">
        <v>1.272095217775712E-2</v>
      </c>
      <c r="AF17" s="141">
        <v>1.9903751110141071E-2</v>
      </c>
      <c r="AG17" s="141">
        <v>8.0899535134277469E-3</v>
      </c>
      <c r="AH17" s="141">
        <v>3.2056498939983108E-2</v>
      </c>
      <c r="AI17" s="141">
        <v>1.0309645955275729E-2</v>
      </c>
      <c r="AJ17" s="142">
        <v>3.4160696030452901E-2</v>
      </c>
    </row>
    <row r="18" spans="1:36" ht="13.5" customHeight="1">
      <c r="A18" s="139" t="s">
        <v>57</v>
      </c>
      <c r="B18" s="140" t="s">
        <v>58</v>
      </c>
      <c r="C18" s="141">
        <v>1.716394145498784E-3</v>
      </c>
      <c r="D18" s="141">
        <v>1.7712997623060282E-2</v>
      </c>
      <c r="E18" s="141">
        <v>7.3469141373408127E-4</v>
      </c>
      <c r="F18" s="141">
        <v>9.5179391445394089E-4</v>
      </c>
      <c r="G18" s="141">
        <v>3.6814631077285698E-3</v>
      </c>
      <c r="H18" s="141">
        <v>2.6616283734155208E-3</v>
      </c>
      <c r="I18" s="141">
        <v>1.419176293244673E-3</v>
      </c>
      <c r="J18" s="141">
        <v>6.5379143788314381E-3</v>
      </c>
      <c r="K18" s="141">
        <v>2.857991338698847E-3</v>
      </c>
      <c r="L18" s="141">
        <v>1.0239164964096161E-2</v>
      </c>
      <c r="M18" s="141">
        <v>2.545815282687533E-2</v>
      </c>
      <c r="N18" s="141">
        <v>0.25414470457031008</v>
      </c>
      <c r="O18" s="141">
        <v>4.558074863130724E-2</v>
      </c>
      <c r="P18" s="141">
        <v>7.6727336277625749E-2</v>
      </c>
      <c r="Q18" s="141">
        <v>1.0775044104382269E-2</v>
      </c>
      <c r="R18" s="141">
        <v>2.1045006162043672E-2</v>
      </c>
      <c r="S18" s="141">
        <v>1.414871425670562E-2</v>
      </c>
      <c r="T18" s="141">
        <v>2.327669404689392E-2</v>
      </c>
      <c r="U18" s="141">
        <v>4.5246712729833903E-2</v>
      </c>
      <c r="V18" s="141">
        <v>4.7640932349260158E-3</v>
      </c>
      <c r="W18" s="141">
        <v>1.4707547021019181E-2</v>
      </c>
      <c r="X18" s="141">
        <v>1.1390255624888721E-2</v>
      </c>
      <c r="Y18" s="141">
        <v>1.453602863952049E-2</v>
      </c>
      <c r="Z18" s="141">
        <v>1.596795339930881E-3</v>
      </c>
      <c r="AA18" s="141">
        <v>3.1280475325129028E-3</v>
      </c>
      <c r="AB18" s="141">
        <v>2.3434137572106651E-2</v>
      </c>
      <c r="AC18" s="141">
        <v>1.720893595909655E-2</v>
      </c>
      <c r="AD18" s="141">
        <v>4.8488057718893826E-3</v>
      </c>
      <c r="AE18" s="141">
        <v>5.0926338467782058E-3</v>
      </c>
      <c r="AF18" s="141">
        <v>2.7278563467433938E-3</v>
      </c>
      <c r="AG18" s="141">
        <v>7.0738581341857022E-3</v>
      </c>
      <c r="AH18" s="141">
        <v>3.916162373055479E-2</v>
      </c>
      <c r="AI18" s="141">
        <v>2.3476287356131789E-3</v>
      </c>
      <c r="AJ18" s="142">
        <v>2.4221715559895201E-2</v>
      </c>
    </row>
    <row r="19" spans="1:36" ht="13.5" customHeight="1">
      <c r="A19" s="139" t="s">
        <v>59</v>
      </c>
      <c r="B19" s="140" t="s">
        <v>11</v>
      </c>
      <c r="C19" s="141">
        <v>1.754048698096882E-3</v>
      </c>
      <c r="D19" s="141">
        <v>2.267789359698134E-2</v>
      </c>
      <c r="E19" s="141">
        <v>1.90750900470405E-3</v>
      </c>
      <c r="F19" s="141">
        <v>4.5414671742558801E-4</v>
      </c>
      <c r="G19" s="141">
        <v>1.687200388840884E-3</v>
      </c>
      <c r="H19" s="141">
        <v>7.8277570393782345E-3</v>
      </c>
      <c r="I19" s="141">
        <v>2.0939275130336249E-3</v>
      </c>
      <c r="J19" s="141">
        <v>3.051063435629876E-3</v>
      </c>
      <c r="K19" s="141">
        <v>3.8256560561885249E-3</v>
      </c>
      <c r="L19" s="141">
        <v>1.90761753532551E-2</v>
      </c>
      <c r="M19" s="141">
        <v>4.751273447646546E-3</v>
      </c>
      <c r="N19" s="141">
        <v>8.6729469405214445E-3</v>
      </c>
      <c r="O19" s="141">
        <v>0.21032297595752689</v>
      </c>
      <c r="P19" s="141">
        <v>2.8910678514348011E-2</v>
      </c>
      <c r="Q19" s="141">
        <v>1.9412803716124809E-3</v>
      </c>
      <c r="R19" s="141">
        <v>1.521489675348623E-2</v>
      </c>
      <c r="S19" s="141">
        <v>7.4324427672159852E-3</v>
      </c>
      <c r="T19" s="141">
        <v>2.8214895947321249E-2</v>
      </c>
      <c r="U19" s="141">
        <v>3.2793200038666627E-2</v>
      </c>
      <c r="V19" s="141">
        <v>1.6403116808341E-3</v>
      </c>
      <c r="W19" s="141">
        <v>4.4720330360917982E-3</v>
      </c>
      <c r="X19" s="141">
        <v>1.6547820839618501E-3</v>
      </c>
      <c r="Y19" s="141">
        <v>5.8935565636791581E-4</v>
      </c>
      <c r="Z19" s="141">
        <v>2.191144987418204E-4</v>
      </c>
      <c r="AA19" s="141">
        <v>1.242495307043895E-3</v>
      </c>
      <c r="AB19" s="141">
        <v>3.7218590650156362E-3</v>
      </c>
      <c r="AC19" s="141">
        <v>2.6586962669695019E-3</v>
      </c>
      <c r="AD19" s="141">
        <v>2.6621227433652069E-3</v>
      </c>
      <c r="AE19" s="141">
        <v>2.3904587121296381E-3</v>
      </c>
      <c r="AF19" s="141">
        <v>1.128859876712609E-3</v>
      </c>
      <c r="AG19" s="141">
        <v>2.340626756600273E-3</v>
      </c>
      <c r="AH19" s="141">
        <v>1.663073636599654E-3</v>
      </c>
      <c r="AI19" s="141">
        <v>1.2960265213321461E-3</v>
      </c>
      <c r="AJ19" s="142">
        <v>1.363532319550613E-2</v>
      </c>
    </row>
    <row r="20" spans="1:36" ht="13.5" customHeight="1">
      <c r="A20" s="139" t="s">
        <v>60</v>
      </c>
      <c r="B20" s="140" t="s">
        <v>12</v>
      </c>
      <c r="C20" s="141">
        <v>2.8931765454827769E-3</v>
      </c>
      <c r="D20" s="141">
        <v>3.224310005055761E-2</v>
      </c>
      <c r="E20" s="141">
        <v>1.983936561399769E-4</v>
      </c>
      <c r="F20" s="141">
        <v>1.8828353065285811E-4</v>
      </c>
      <c r="G20" s="141">
        <v>1.5779968846027269E-3</v>
      </c>
      <c r="H20" s="141">
        <v>1.4798629968642461E-3</v>
      </c>
      <c r="I20" s="141">
        <v>8.032181126593794E-4</v>
      </c>
      <c r="J20" s="141">
        <v>3.9250583994608909E-3</v>
      </c>
      <c r="K20" s="141">
        <v>8.9560080924188951E-4</v>
      </c>
      <c r="L20" s="141">
        <v>2.0283375915020828E-3</v>
      </c>
      <c r="M20" s="141">
        <v>5.1402116471436283E-5</v>
      </c>
      <c r="N20" s="141">
        <v>5.1696200876547179E-4</v>
      </c>
      <c r="O20" s="141">
        <v>3.7835520707292722E-3</v>
      </c>
      <c r="P20" s="141">
        <v>0.28486173152528849</v>
      </c>
      <c r="Q20" s="141">
        <v>6.5065214299048256E-4</v>
      </c>
      <c r="R20" s="141">
        <v>3.7174612586684412E-2</v>
      </c>
      <c r="S20" s="141">
        <v>1.0143408307555181E-3</v>
      </c>
      <c r="T20" s="141">
        <v>1.376807398833753E-2</v>
      </c>
      <c r="U20" s="141">
        <v>1.088335236261795E-4</v>
      </c>
      <c r="V20" s="141">
        <v>1.719789361346495E-3</v>
      </c>
      <c r="W20" s="141">
        <v>4.5565100250244482E-2</v>
      </c>
      <c r="X20" s="141">
        <v>8.0152124422606941E-4</v>
      </c>
      <c r="Y20" s="141">
        <v>6.937015384460201E-4</v>
      </c>
      <c r="Z20" s="141">
        <v>9.74871810895272E-5</v>
      </c>
      <c r="AA20" s="141">
        <v>1.585218633852121E-4</v>
      </c>
      <c r="AB20" s="141">
        <v>1.026166323901442E-2</v>
      </c>
      <c r="AC20" s="141">
        <v>6.0705023671245029E-3</v>
      </c>
      <c r="AD20" s="141">
        <v>1.7667870620581901E-2</v>
      </c>
      <c r="AE20" s="141">
        <v>1.0814246771345801E-3</v>
      </c>
      <c r="AF20" s="141">
        <v>1.030247595766107E-3</v>
      </c>
      <c r="AG20" s="141">
        <v>1.672936081183396E-3</v>
      </c>
      <c r="AH20" s="141">
        <v>9.7961344784869481E-2</v>
      </c>
      <c r="AI20" s="141">
        <v>1.571327574587761E-3</v>
      </c>
      <c r="AJ20" s="142">
        <v>2.2591351349318171E-2</v>
      </c>
    </row>
    <row r="21" spans="1:36" ht="13.5" customHeight="1">
      <c r="A21" s="139" t="s">
        <v>61</v>
      </c>
      <c r="B21" s="140" t="s">
        <v>135</v>
      </c>
      <c r="C21" s="141">
        <v>1.7609477573932701E-4</v>
      </c>
      <c r="D21" s="141">
        <v>8.1628101393816732E-4</v>
      </c>
      <c r="E21" s="141">
        <v>1.4571895070885871E-3</v>
      </c>
      <c r="F21" s="141">
        <v>5.7100650845281877E-3</v>
      </c>
      <c r="G21" s="141">
        <v>8.8467870729472622E-4</v>
      </c>
      <c r="H21" s="141">
        <v>1.106857255671611E-4</v>
      </c>
      <c r="I21" s="141">
        <v>1.6946775595957049E-4</v>
      </c>
      <c r="J21" s="141">
        <v>1.9013320420644531E-4</v>
      </c>
      <c r="K21" s="141">
        <v>1.710065234694781E-4</v>
      </c>
      <c r="L21" s="141">
        <v>9.3573817702443621E-4</v>
      </c>
      <c r="M21" s="141">
        <v>1.6734220264726121E-4</v>
      </c>
      <c r="N21" s="141">
        <v>2.2814587491992269E-4</v>
      </c>
      <c r="O21" s="141">
        <v>3.2642278938932169E-4</v>
      </c>
      <c r="P21" s="141">
        <v>1.7241426820124289E-4</v>
      </c>
      <c r="Q21" s="141">
        <v>6.0982261540671157E-2</v>
      </c>
      <c r="R21" s="141">
        <v>2.1797932487141319E-3</v>
      </c>
      <c r="S21" s="141">
        <v>1.26932702526655E-4</v>
      </c>
      <c r="T21" s="141">
        <v>4.8231992041918694E-3</v>
      </c>
      <c r="U21" s="141">
        <v>7.1605399137400459E-3</v>
      </c>
      <c r="V21" s="141">
        <v>2.4169946524979159E-3</v>
      </c>
      <c r="W21" s="141">
        <v>9.8663622548915268E-4</v>
      </c>
      <c r="X21" s="141">
        <v>1.239748824466199E-2</v>
      </c>
      <c r="Y21" s="141">
        <v>2.1058454779353578E-3</v>
      </c>
      <c r="Z21" s="141">
        <v>1.0345185160346619E-3</v>
      </c>
      <c r="AA21" s="141">
        <v>3.62337317020479E-3</v>
      </c>
      <c r="AB21" s="141">
        <v>5.5209491627891917E-3</v>
      </c>
      <c r="AC21" s="141">
        <v>6.6726742493480526E-3</v>
      </c>
      <c r="AD21" s="141">
        <v>3.2566161608260061E-3</v>
      </c>
      <c r="AE21" s="141">
        <v>1.6026597607084359E-2</v>
      </c>
      <c r="AF21" s="141">
        <v>3.745108348777807E-3</v>
      </c>
      <c r="AG21" s="141">
        <v>2.045085534653077E-2</v>
      </c>
      <c r="AH21" s="141">
        <v>9.8986870300366604E-3</v>
      </c>
      <c r="AI21" s="141">
        <v>2.3655571688932118E-3</v>
      </c>
      <c r="AJ21" s="142">
        <v>3.5431462907170989E-3</v>
      </c>
    </row>
    <row r="22" spans="1:36" ht="13.5" customHeight="1">
      <c r="A22" s="139" t="s">
        <v>63</v>
      </c>
      <c r="B22" s="140" t="s">
        <v>64</v>
      </c>
      <c r="C22" s="141">
        <v>3.268209948878241E-3</v>
      </c>
      <c r="D22" s="141">
        <v>2.856514205974283E-2</v>
      </c>
      <c r="E22" s="141">
        <v>3.0080449872116791E-2</v>
      </c>
      <c r="F22" s="141">
        <v>0.1423186177520212</v>
      </c>
      <c r="G22" s="141">
        <v>3.2163047383680768E-2</v>
      </c>
      <c r="H22" s="141">
        <v>2.4669103032625771E-3</v>
      </c>
      <c r="I22" s="141">
        <v>2.533458517749819E-2</v>
      </c>
      <c r="J22" s="141">
        <v>2.6953821319330839E-2</v>
      </c>
      <c r="K22" s="141">
        <v>2.2013124271257699E-2</v>
      </c>
      <c r="L22" s="141">
        <v>4.2010168687459562E-2</v>
      </c>
      <c r="M22" s="141">
        <v>5.9280298327015098E-2</v>
      </c>
      <c r="N22" s="141">
        <v>4.0235924125117763E-2</v>
      </c>
      <c r="O22" s="141">
        <v>6.5123271183989084E-2</v>
      </c>
      <c r="P22" s="141">
        <v>2.4928756352216429E-2</v>
      </c>
      <c r="Q22" s="141">
        <v>7.0342848971206393E-2</v>
      </c>
      <c r="R22" s="141">
        <v>0.1274154849626507</v>
      </c>
      <c r="S22" s="141">
        <v>2.7161343576030399E-3</v>
      </c>
      <c r="T22" s="141">
        <v>9.6515181456407351E-3</v>
      </c>
      <c r="U22" s="141">
        <v>5.5550474787744309E-4</v>
      </c>
      <c r="V22" s="141">
        <v>1.3238007465696271E-3</v>
      </c>
      <c r="W22" s="141">
        <v>3.9741831385591822E-4</v>
      </c>
      <c r="X22" s="141">
        <v>5.3356234391523669E-4</v>
      </c>
      <c r="Y22" s="141">
        <v>1.179645794492886E-3</v>
      </c>
      <c r="Z22" s="141">
        <v>2.2536711886677721E-4</v>
      </c>
      <c r="AA22" s="141">
        <v>2.8012102390804979E-4</v>
      </c>
      <c r="AB22" s="141">
        <v>8.7789731077740228E-4</v>
      </c>
      <c r="AC22" s="141">
        <v>7.0498320307711077E-3</v>
      </c>
      <c r="AD22" s="141">
        <v>1.1404075923846489E-3</v>
      </c>
      <c r="AE22" s="141">
        <v>1.848955905810377E-3</v>
      </c>
      <c r="AF22" s="141">
        <v>5.0940400267846121E-3</v>
      </c>
      <c r="AG22" s="141">
        <v>1.9862252013384909E-3</v>
      </c>
      <c r="AH22" s="141">
        <v>6.7615100787541782E-4</v>
      </c>
      <c r="AI22" s="141">
        <v>2.9721358282009872E-4</v>
      </c>
      <c r="AJ22" s="142">
        <v>1.8144898380823331E-2</v>
      </c>
    </row>
    <row r="23" spans="1:36" ht="13.5" customHeight="1">
      <c r="A23" s="139" t="s">
        <v>65</v>
      </c>
      <c r="B23" s="140" t="s">
        <v>13</v>
      </c>
      <c r="C23" s="141">
        <v>2.386844997943716E-2</v>
      </c>
      <c r="D23" s="141">
        <v>5.8108394534071191E-2</v>
      </c>
      <c r="E23" s="141">
        <v>1.8741369175554731E-2</v>
      </c>
      <c r="F23" s="141">
        <v>2.113040072636109E-2</v>
      </c>
      <c r="G23" s="141">
        <v>4.6201169457595462E-2</v>
      </c>
      <c r="H23" s="141">
        <v>2.6608496144089468E-2</v>
      </c>
      <c r="I23" s="141">
        <v>3.6228242612679713E-2</v>
      </c>
      <c r="J23" s="141">
        <v>4.9391742946203708E-2</v>
      </c>
      <c r="K23" s="141">
        <v>7.1461524011637953E-2</v>
      </c>
      <c r="L23" s="141">
        <v>1.3754258015899039E-2</v>
      </c>
      <c r="M23" s="141">
        <v>3.3674890115195089E-2</v>
      </c>
      <c r="N23" s="141">
        <v>1.021700821390561E-2</v>
      </c>
      <c r="O23" s="141">
        <v>1.154599447574204E-2</v>
      </c>
      <c r="P23" s="141">
        <v>1.468448587868354E-2</v>
      </c>
      <c r="Q23" s="141">
        <v>6.8332986159925476E-3</v>
      </c>
      <c r="R23" s="141">
        <v>8.370968458394067E-3</v>
      </c>
      <c r="S23" s="141">
        <v>0.16998262776340531</v>
      </c>
      <c r="T23" s="141">
        <v>2.1758644102182301E-2</v>
      </c>
      <c r="U23" s="141">
        <v>2.1879170221097899E-3</v>
      </c>
      <c r="V23" s="141">
        <v>9.4563004312012231E-3</v>
      </c>
      <c r="W23" s="141">
        <v>1.6723203526035051E-2</v>
      </c>
      <c r="X23" s="141">
        <v>6.2371912543778647E-3</v>
      </c>
      <c r="Y23" s="141">
        <v>5.5296629543722291E-3</v>
      </c>
      <c r="Z23" s="141">
        <v>4.3496109415378983E-3</v>
      </c>
      <c r="AA23" s="141">
        <v>7.7982139117084657E-3</v>
      </c>
      <c r="AB23" s="141">
        <v>1.9457518366278379E-2</v>
      </c>
      <c r="AC23" s="141">
        <v>3.3089726049628549E-3</v>
      </c>
      <c r="AD23" s="141">
        <v>5.5895799775991439E-3</v>
      </c>
      <c r="AE23" s="141">
        <v>2.245599017337141E-2</v>
      </c>
      <c r="AF23" s="141">
        <v>8.9184224099376729E-3</v>
      </c>
      <c r="AG23" s="141">
        <v>1.423148671885195E-2</v>
      </c>
      <c r="AH23" s="141">
        <v>9.5264081429297012E-3</v>
      </c>
      <c r="AI23" s="141">
        <v>5.0259374628358513E-4</v>
      </c>
      <c r="AJ23" s="142">
        <v>2.1240200415555389E-2</v>
      </c>
    </row>
    <row r="24" spans="1:36" ht="13.5" customHeight="1">
      <c r="A24" s="139" t="s">
        <v>66</v>
      </c>
      <c r="B24" s="140" t="s">
        <v>67</v>
      </c>
      <c r="C24" s="141">
        <v>1.2065658144807311E-3</v>
      </c>
      <c r="D24" s="141">
        <v>2.7298855160245842E-3</v>
      </c>
      <c r="E24" s="141">
        <v>4.5329052293636759E-3</v>
      </c>
      <c r="F24" s="141">
        <v>5.503338034672847E-3</v>
      </c>
      <c r="G24" s="141">
        <v>1.0273662874768229E-2</v>
      </c>
      <c r="H24" s="141">
        <v>7.3965114518975629E-4</v>
      </c>
      <c r="I24" s="141">
        <v>1.3074809359129641E-2</v>
      </c>
      <c r="J24" s="141">
        <v>1.254826026937688E-2</v>
      </c>
      <c r="K24" s="141">
        <v>2.7033246511323099E-2</v>
      </c>
      <c r="L24" s="141">
        <v>6.6443133289278171E-3</v>
      </c>
      <c r="M24" s="141">
        <v>7.3580789878084966E-4</v>
      </c>
      <c r="N24" s="141">
        <v>1.629344636112076E-3</v>
      </c>
      <c r="O24" s="141">
        <v>4.003178225576047E-3</v>
      </c>
      <c r="P24" s="141">
        <v>1.3688139217994529E-3</v>
      </c>
      <c r="Q24" s="141">
        <v>1.9031022376912569E-3</v>
      </c>
      <c r="R24" s="141">
        <v>2.6361150509853588E-3</v>
      </c>
      <c r="S24" s="141">
        <v>2.1948024377829991E-3</v>
      </c>
      <c r="T24" s="141">
        <v>5.3505417112650007E-2</v>
      </c>
      <c r="U24" s="141">
        <v>9.9707426374276127E-4</v>
      </c>
      <c r="V24" s="141">
        <v>4.1736123043636421E-4</v>
      </c>
      <c r="W24" s="141">
        <v>2.0975269831168212E-3</v>
      </c>
      <c r="X24" s="141">
        <v>1.286362731643971E-2</v>
      </c>
      <c r="Y24" s="141">
        <v>1.6551550042526481E-3</v>
      </c>
      <c r="Z24" s="141">
        <v>1.31506803855272E-3</v>
      </c>
      <c r="AA24" s="141">
        <v>9.4694408105582533E-3</v>
      </c>
      <c r="AB24" s="141">
        <v>2.8279086913025799E-3</v>
      </c>
      <c r="AC24" s="141">
        <v>3.1360474113968171E-3</v>
      </c>
      <c r="AD24" s="141">
        <v>5.1678884551869496E-3</v>
      </c>
      <c r="AE24" s="141">
        <v>8.9613190890439707E-3</v>
      </c>
      <c r="AF24" s="141">
        <v>9.0240024828884928E-3</v>
      </c>
      <c r="AG24" s="141">
        <v>6.5204167521179359E-3</v>
      </c>
      <c r="AH24" s="141">
        <v>7.6917783755574374E-3</v>
      </c>
      <c r="AI24" s="141">
        <v>1.6402524403087749E-3</v>
      </c>
      <c r="AJ24" s="142">
        <v>5.5800563977183382E-3</v>
      </c>
    </row>
    <row r="25" spans="1:36" ht="13.5" customHeight="1">
      <c r="A25" s="139" t="s">
        <v>68</v>
      </c>
      <c r="B25" s="140" t="s">
        <v>14</v>
      </c>
      <c r="C25" s="141">
        <v>1.195035879766219E-3</v>
      </c>
      <c r="D25" s="141">
        <v>6.0995791496897553E-3</v>
      </c>
      <c r="E25" s="141">
        <v>6.3578516389256297E-4</v>
      </c>
      <c r="F25" s="141">
        <v>2.5628509952074497E-4</v>
      </c>
      <c r="G25" s="141">
        <v>9.3370156533591924E-4</v>
      </c>
      <c r="H25" s="141">
        <v>5.9631417836512781E-4</v>
      </c>
      <c r="I25" s="141">
        <v>6.3497172679571662E-4</v>
      </c>
      <c r="J25" s="141">
        <v>6.9596150306278938E-4</v>
      </c>
      <c r="K25" s="141">
        <v>9.0195310544219712E-4</v>
      </c>
      <c r="L25" s="141">
        <v>1.0436628170121219E-3</v>
      </c>
      <c r="M25" s="141">
        <v>2.4902463397418682E-4</v>
      </c>
      <c r="N25" s="141">
        <v>6.1816400636080862E-4</v>
      </c>
      <c r="O25" s="141">
        <v>4.6621968644057379E-4</v>
      </c>
      <c r="P25" s="141">
        <v>6.8749770474450924E-5</v>
      </c>
      <c r="Q25" s="141">
        <v>5.331464113469698E-4</v>
      </c>
      <c r="R25" s="141">
        <v>2.0657567020618311E-4</v>
      </c>
      <c r="S25" s="141">
        <v>1.938583374868472E-3</v>
      </c>
      <c r="T25" s="141">
        <v>2.7804001146438358E-3</v>
      </c>
      <c r="U25" s="141">
        <v>6.653843262585874E-5</v>
      </c>
      <c r="V25" s="141">
        <v>9.6384594816368424E-4</v>
      </c>
      <c r="W25" s="141">
        <v>6.1398564116308231E-4</v>
      </c>
      <c r="X25" s="141">
        <v>3.853044459526916E-3</v>
      </c>
      <c r="Y25" s="141">
        <v>1.7330513879717821E-3</v>
      </c>
      <c r="Z25" s="141">
        <v>2.5614525172563648E-4</v>
      </c>
      <c r="AA25" s="141">
        <v>6.9281809685710141E-2</v>
      </c>
      <c r="AB25" s="141">
        <v>2.3541858966054552E-3</v>
      </c>
      <c r="AC25" s="141">
        <v>2.537652096213679E-3</v>
      </c>
      <c r="AD25" s="141">
        <v>4.1986140806174214E-3</v>
      </c>
      <c r="AE25" s="141">
        <v>1.09515419489217E-3</v>
      </c>
      <c r="AF25" s="141">
        <v>4.4780954271102041E-4</v>
      </c>
      <c r="AG25" s="141">
        <v>2.3350626676384659E-3</v>
      </c>
      <c r="AH25" s="141">
        <v>2.039703007771496E-3</v>
      </c>
      <c r="AI25" s="141">
        <v>1.6115669470607231E-3</v>
      </c>
      <c r="AJ25" s="142">
        <v>4.3311144151231161E-3</v>
      </c>
    </row>
    <row r="26" spans="1:36" ht="13.5" customHeight="1">
      <c r="A26" s="139" t="s">
        <v>69</v>
      </c>
      <c r="B26" s="140" t="s">
        <v>70</v>
      </c>
      <c r="C26" s="141">
        <v>5.4236718389404748E-2</v>
      </c>
      <c r="D26" s="141">
        <v>1.7409802168251141E-2</v>
      </c>
      <c r="E26" s="141">
        <v>7.3807171574848202E-2</v>
      </c>
      <c r="F26" s="141">
        <v>8.8839752414426279E-2</v>
      </c>
      <c r="G26" s="141">
        <v>6.2053065869190092E-2</v>
      </c>
      <c r="H26" s="141">
        <v>1.510762455134561E-2</v>
      </c>
      <c r="I26" s="141">
        <v>4.327270705301775E-2</v>
      </c>
      <c r="J26" s="141">
        <v>4.2656337145205017E-2</v>
      </c>
      <c r="K26" s="141">
        <v>2.4981621592912839E-2</v>
      </c>
      <c r="L26" s="141">
        <v>3.3950105653893822E-2</v>
      </c>
      <c r="M26" s="141">
        <v>4.0114988401269848E-2</v>
      </c>
      <c r="N26" s="141">
        <v>4.3848279155340099E-2</v>
      </c>
      <c r="O26" s="141">
        <v>4.1368802366991683E-2</v>
      </c>
      <c r="P26" s="141">
        <v>4.2931129052790153E-2</v>
      </c>
      <c r="Q26" s="141">
        <v>8.6425344697587544E-2</v>
      </c>
      <c r="R26" s="141">
        <v>2.4389585784635279E-2</v>
      </c>
      <c r="S26" s="141">
        <v>2.3669998707795681E-2</v>
      </c>
      <c r="T26" s="141">
        <v>2.480390688585522E-2</v>
      </c>
      <c r="U26" s="141">
        <v>3.603526266941854E-2</v>
      </c>
      <c r="V26" s="141">
        <v>4.5252788457976423E-2</v>
      </c>
      <c r="W26" s="141">
        <v>1.5107483244228649E-2</v>
      </c>
      <c r="X26" s="141">
        <v>7.6579915658023162E-2</v>
      </c>
      <c r="Y26" s="141">
        <v>4.0782474190426958E-2</v>
      </c>
      <c r="Z26" s="141">
        <v>2.3065976261936361E-3</v>
      </c>
      <c r="AA26" s="141">
        <v>2.8367128379866271E-3</v>
      </c>
      <c r="AB26" s="141">
        <v>1.9107738712138389E-2</v>
      </c>
      <c r="AC26" s="141">
        <v>1.774956019278259E-2</v>
      </c>
      <c r="AD26" s="141">
        <v>1.1047057986519049E-2</v>
      </c>
      <c r="AE26" s="141">
        <v>1.63557755918292E-2</v>
      </c>
      <c r="AF26" s="141">
        <v>6.1827696195671807E-2</v>
      </c>
      <c r="AG26" s="141">
        <v>2.91351772075009E-2</v>
      </c>
      <c r="AH26" s="141">
        <v>4.3901531266224321E-2</v>
      </c>
      <c r="AI26" s="141">
        <v>8.6626205512833863E-3</v>
      </c>
      <c r="AJ26" s="142">
        <v>3.5255628333914088E-2</v>
      </c>
    </row>
    <row r="27" spans="1:36" ht="13.5" customHeight="1">
      <c r="A27" s="139" t="s">
        <v>71</v>
      </c>
      <c r="B27" s="140" t="s">
        <v>42</v>
      </c>
      <c r="C27" s="141">
        <v>2.591085505415296E-2</v>
      </c>
      <c r="D27" s="141">
        <v>0.15005527919607961</v>
      </c>
      <c r="E27" s="141">
        <v>3.4796501624537887E-2</v>
      </c>
      <c r="F27" s="141">
        <v>3.8041055387769578E-2</v>
      </c>
      <c r="G27" s="141">
        <v>4.2224569463800973E-2</v>
      </c>
      <c r="H27" s="141">
        <v>9.7233923902252523E-3</v>
      </c>
      <c r="I27" s="141">
        <v>3.1228508366881669E-2</v>
      </c>
      <c r="J27" s="141">
        <v>0.1137013677864773</v>
      </c>
      <c r="K27" s="141">
        <v>2.8047925516195199E-2</v>
      </c>
      <c r="L27" s="141">
        <v>2.799933469705275E-2</v>
      </c>
      <c r="M27" s="141">
        <v>1.3259707350199979E-2</v>
      </c>
      <c r="N27" s="141">
        <v>1.6334817445992571E-2</v>
      </c>
      <c r="O27" s="141">
        <v>2.2488231330578621E-2</v>
      </c>
      <c r="P27" s="141">
        <v>1.134902749581785E-2</v>
      </c>
      <c r="Q27" s="141">
        <v>3.6716585123815842E-2</v>
      </c>
      <c r="R27" s="141">
        <v>1.5861327675065571E-2</v>
      </c>
      <c r="S27" s="141">
        <v>4.6205204682526497E-3</v>
      </c>
      <c r="T27" s="141">
        <v>7.2289900576616384E-2</v>
      </c>
      <c r="U27" s="141">
        <v>1.020754547403825E-2</v>
      </c>
      <c r="V27" s="141">
        <v>7.8147763575954071E-2</v>
      </c>
      <c r="W27" s="141">
        <v>0.164003438080909</v>
      </c>
      <c r="X27" s="141">
        <v>1.537308262024973E-2</v>
      </c>
      <c r="Y27" s="141">
        <v>7.9401907122435347E-3</v>
      </c>
      <c r="Z27" s="141">
        <v>3.305618233790351E-3</v>
      </c>
      <c r="AA27" s="141">
        <v>2.7039478341808771E-3</v>
      </c>
      <c r="AB27" s="141">
        <v>1.303898650800505E-2</v>
      </c>
      <c r="AC27" s="141">
        <v>1.669905090227522E-2</v>
      </c>
      <c r="AD27" s="141">
        <v>1.37696875588002E-2</v>
      </c>
      <c r="AE27" s="141">
        <v>5.0524625347928096E-3</v>
      </c>
      <c r="AF27" s="141">
        <v>7.5304902615569947E-3</v>
      </c>
      <c r="AG27" s="141">
        <v>7.0560839611132622E-3</v>
      </c>
      <c r="AH27" s="141">
        <v>1.467844745071744E-2</v>
      </c>
      <c r="AI27" s="141">
        <v>3.8707487451590743E-2</v>
      </c>
      <c r="AJ27" s="142">
        <v>2.6868685495386731E-2</v>
      </c>
    </row>
    <row r="28" spans="1:36" ht="13.5" customHeight="1">
      <c r="A28" s="139" t="s">
        <v>72</v>
      </c>
      <c r="B28" s="140" t="s">
        <v>15</v>
      </c>
      <c r="C28" s="141">
        <v>6.5682284764302414E-3</v>
      </c>
      <c r="D28" s="141">
        <v>2.226355776492947E-2</v>
      </c>
      <c r="E28" s="141">
        <v>3.9158815503357288E-3</v>
      </c>
      <c r="F28" s="141">
        <v>7.9038604053075952E-3</v>
      </c>
      <c r="G28" s="141">
        <v>1.0346947227375331E-2</v>
      </c>
      <c r="H28" s="141">
        <v>1.5960934865582169E-3</v>
      </c>
      <c r="I28" s="141">
        <v>4.9862195201715882E-3</v>
      </c>
      <c r="J28" s="141">
        <v>7.8205068576623956E-3</v>
      </c>
      <c r="K28" s="141">
        <v>4.7414862451265541E-3</v>
      </c>
      <c r="L28" s="141">
        <v>8.7177430235817911E-3</v>
      </c>
      <c r="M28" s="141">
        <v>3.97620495062886E-3</v>
      </c>
      <c r="N28" s="141">
        <v>3.790296425067655E-3</v>
      </c>
      <c r="O28" s="141">
        <v>7.6012527548763092E-3</v>
      </c>
      <c r="P28" s="141">
        <v>3.7117608952153859E-3</v>
      </c>
      <c r="Q28" s="141">
        <v>8.6273945075105371E-3</v>
      </c>
      <c r="R28" s="141">
        <v>2.7146152519103371E-2</v>
      </c>
      <c r="S28" s="141">
        <v>2.6056442957090912E-3</v>
      </c>
      <c r="T28" s="141">
        <v>1.6896640160463092E-2</v>
      </c>
      <c r="U28" s="141">
        <v>3.2862715928821278E-3</v>
      </c>
      <c r="V28" s="141">
        <v>4.1299124429966062E-2</v>
      </c>
      <c r="W28" s="141">
        <v>1.1767578197619101E-2</v>
      </c>
      <c r="X28" s="141">
        <v>6.6560424097342951E-3</v>
      </c>
      <c r="Y28" s="141">
        <v>1.6063718499793801E-2</v>
      </c>
      <c r="Z28" s="141">
        <v>1.922729618207741E-2</v>
      </c>
      <c r="AA28" s="141">
        <v>9.8205118468916615E-3</v>
      </c>
      <c r="AB28" s="141">
        <v>3.7237696887583799E-2</v>
      </c>
      <c r="AC28" s="141">
        <v>3.3607836400169087E-2</v>
      </c>
      <c r="AD28" s="141">
        <v>2.9409710513677158E-2</v>
      </c>
      <c r="AE28" s="141">
        <v>2.755407954348699E-2</v>
      </c>
      <c r="AF28" s="141">
        <v>2.5411829475560761E-2</v>
      </c>
      <c r="AG28" s="141">
        <v>3.5545363174964373E-2</v>
      </c>
      <c r="AH28" s="141">
        <v>6.3031969991708958E-2</v>
      </c>
      <c r="AI28" s="141">
        <v>1.4884583718711649E-3</v>
      </c>
      <c r="AJ28" s="142">
        <v>1.5416127171660019E-2</v>
      </c>
    </row>
    <row r="29" spans="1:36" ht="13.5" customHeight="1">
      <c r="A29" s="139" t="s">
        <v>73</v>
      </c>
      <c r="B29" s="140" t="s">
        <v>136</v>
      </c>
      <c r="C29" s="141">
        <v>2.5399609108210991E-3</v>
      </c>
      <c r="D29" s="141">
        <v>4.9256589150634073E-3</v>
      </c>
      <c r="E29" s="141">
        <v>2.0849536153537589E-3</v>
      </c>
      <c r="F29" s="141">
        <v>2.7206043727446062E-3</v>
      </c>
      <c r="G29" s="141">
        <v>6.6285473777359027E-3</v>
      </c>
      <c r="H29" s="141">
        <v>3.130894391522625E-3</v>
      </c>
      <c r="I29" s="141">
        <v>2.3447040003996751E-3</v>
      </c>
      <c r="J29" s="141">
        <v>3.324379916676641E-3</v>
      </c>
      <c r="K29" s="141">
        <v>3.2903643660425071E-3</v>
      </c>
      <c r="L29" s="141">
        <v>4.1485248477224424E-3</v>
      </c>
      <c r="M29" s="141">
        <v>4.67340888749254E-3</v>
      </c>
      <c r="N29" s="141">
        <v>2.6015332933298999E-3</v>
      </c>
      <c r="O29" s="141">
        <v>3.5224019783164071E-3</v>
      </c>
      <c r="P29" s="141">
        <v>2.3704818823517492E-3</v>
      </c>
      <c r="Q29" s="141">
        <v>9.2746952667993373E-3</v>
      </c>
      <c r="R29" s="141">
        <v>6.4192276423184159E-3</v>
      </c>
      <c r="S29" s="141">
        <v>1.340892728581713E-3</v>
      </c>
      <c r="T29" s="141">
        <v>1.3883459468666971E-2</v>
      </c>
      <c r="U29" s="141">
        <v>2.5229876449333328E-3</v>
      </c>
      <c r="V29" s="141">
        <v>2.747244440819737E-2</v>
      </c>
      <c r="W29" s="141">
        <v>1.113052000826833E-2</v>
      </c>
      <c r="X29" s="141">
        <v>1.0632263399379741E-2</v>
      </c>
      <c r="Y29" s="141">
        <v>0.16808056123251949</v>
      </c>
      <c r="Z29" s="141">
        <v>4.5955865924148687E-2</v>
      </c>
      <c r="AA29" s="141">
        <v>4.8313481782293888E-3</v>
      </c>
      <c r="AB29" s="141">
        <v>6.5970298291211898E-2</v>
      </c>
      <c r="AC29" s="141">
        <v>1.891745488817911E-2</v>
      </c>
      <c r="AD29" s="141">
        <v>2.4304639363575589E-2</v>
      </c>
      <c r="AE29" s="141">
        <v>2.9663967558374121E-2</v>
      </c>
      <c r="AF29" s="141">
        <v>7.2181260168578676E-3</v>
      </c>
      <c r="AG29" s="141">
        <v>6.4235289619099314E-2</v>
      </c>
      <c r="AH29" s="141">
        <v>1.9025242795307339E-2</v>
      </c>
      <c r="AI29" s="141">
        <v>7.8397054637298833E-3</v>
      </c>
      <c r="AJ29" s="142">
        <v>2.0265617125030101E-2</v>
      </c>
    </row>
    <row r="30" spans="1:36" ht="13.5" customHeight="1">
      <c r="A30" s="139" t="s">
        <v>74</v>
      </c>
      <c r="B30" s="140" t="s">
        <v>137</v>
      </c>
      <c r="C30" s="141">
        <v>1.5797144650821129E-2</v>
      </c>
      <c r="D30" s="141">
        <v>1.22928391241162E-2</v>
      </c>
      <c r="E30" s="141">
        <v>1.0040831997838539E-2</v>
      </c>
      <c r="F30" s="141">
        <v>1.525829207938079E-2</v>
      </c>
      <c r="G30" s="141">
        <v>1.5098576112700161E-2</v>
      </c>
      <c r="H30" s="141">
        <v>6.7274017134487871E-3</v>
      </c>
      <c r="I30" s="141">
        <v>1.1093401893757701E-2</v>
      </c>
      <c r="J30" s="141">
        <v>1.347283806309353E-2</v>
      </c>
      <c r="K30" s="141">
        <v>9.0296613774846438E-3</v>
      </c>
      <c r="L30" s="141">
        <v>1.3423536126250839E-2</v>
      </c>
      <c r="M30" s="141">
        <v>9.223282595378442E-3</v>
      </c>
      <c r="N30" s="141">
        <v>9.8895184802239647E-3</v>
      </c>
      <c r="O30" s="141">
        <v>1.425456070393975E-2</v>
      </c>
      <c r="P30" s="141">
        <v>8.9827783308043963E-3</v>
      </c>
      <c r="Q30" s="141">
        <v>1.304071768810911E-2</v>
      </c>
      <c r="R30" s="141">
        <v>7.1136739519618852E-3</v>
      </c>
      <c r="S30" s="141">
        <v>9.9805905637439119E-3</v>
      </c>
      <c r="T30" s="141">
        <v>1.7145569441580209E-2</v>
      </c>
      <c r="U30" s="141">
        <v>1.371189026392397E-2</v>
      </c>
      <c r="V30" s="141">
        <v>2.3694861072853051E-2</v>
      </c>
      <c r="W30" s="141">
        <v>1.2196418392833291E-2</v>
      </c>
      <c r="X30" s="141">
        <v>1.6075066823010589E-2</v>
      </c>
      <c r="Y30" s="141">
        <v>1.1356431557179591E-2</v>
      </c>
      <c r="Z30" s="141">
        <v>0.18340265023799099</v>
      </c>
      <c r="AA30" s="141">
        <v>7.8837347057885102E-2</v>
      </c>
      <c r="AB30" s="141">
        <v>9.8936179544203227E-3</v>
      </c>
      <c r="AC30" s="141">
        <v>1.087938188144218E-2</v>
      </c>
      <c r="AD30" s="141">
        <v>2.3573462520415811E-2</v>
      </c>
      <c r="AE30" s="141">
        <v>1.9954237489310619E-2</v>
      </c>
      <c r="AF30" s="141">
        <v>2.0435019012877611E-2</v>
      </c>
      <c r="AG30" s="141">
        <v>1.8113319750464828E-2</v>
      </c>
      <c r="AH30" s="141">
        <v>2.2531279520868319E-2</v>
      </c>
      <c r="AI30" s="141">
        <v>0</v>
      </c>
      <c r="AJ30" s="142">
        <v>2.338152055751631E-2</v>
      </c>
    </row>
    <row r="31" spans="1:36" ht="13.5" customHeight="1">
      <c r="A31" s="139" t="s">
        <v>75</v>
      </c>
      <c r="B31" s="140" t="s">
        <v>76</v>
      </c>
      <c r="C31" s="141">
        <v>4.8309616388136158E-4</v>
      </c>
      <c r="D31" s="141">
        <v>1.224984732278413E-3</v>
      </c>
      <c r="E31" s="141">
        <v>1.9470111959517299E-3</v>
      </c>
      <c r="F31" s="141">
        <v>3.9760749642681762E-3</v>
      </c>
      <c r="G31" s="141">
        <v>3.4687510343269618E-3</v>
      </c>
      <c r="H31" s="141">
        <v>7.1317333896622466E-4</v>
      </c>
      <c r="I31" s="141">
        <v>1.264864147083887E-3</v>
      </c>
      <c r="J31" s="141">
        <v>1.348934486755641E-3</v>
      </c>
      <c r="K31" s="141">
        <v>1.0853255016625609E-3</v>
      </c>
      <c r="L31" s="141">
        <v>1.555039255295039E-3</v>
      </c>
      <c r="M31" s="141">
        <v>1.0964951023341751E-3</v>
      </c>
      <c r="N31" s="141">
        <v>1.9348029791372049E-3</v>
      </c>
      <c r="O31" s="141">
        <v>1.132991041736124E-3</v>
      </c>
      <c r="P31" s="141">
        <v>9.6242856484919388E-4</v>
      </c>
      <c r="Q31" s="141">
        <v>4.9916268960496484E-3</v>
      </c>
      <c r="R31" s="141">
        <v>4.6311502929165943E-3</v>
      </c>
      <c r="S31" s="141">
        <v>4.8789942958409478E-4</v>
      </c>
      <c r="T31" s="141">
        <v>1.29258532855555E-2</v>
      </c>
      <c r="U31" s="141">
        <v>1.5580167431816271E-3</v>
      </c>
      <c r="V31" s="141">
        <v>4.9330128150546507E-2</v>
      </c>
      <c r="W31" s="141">
        <v>8.0682268992180017E-3</v>
      </c>
      <c r="X31" s="141">
        <v>4.7866004495194701E-2</v>
      </c>
      <c r="Y31" s="141">
        <v>1.01119171540512E-2</v>
      </c>
      <c r="Z31" s="141">
        <v>1.6421082165386621E-2</v>
      </c>
      <c r="AA31" s="141">
        <v>2.9030258063020072E-2</v>
      </c>
      <c r="AB31" s="141">
        <v>2.5842018293407029E-2</v>
      </c>
      <c r="AC31" s="141">
        <v>1.515105339611221E-2</v>
      </c>
      <c r="AD31" s="141">
        <v>5.7437104605263306E-3</v>
      </c>
      <c r="AE31" s="141">
        <v>2.5142232847347061E-2</v>
      </c>
      <c r="AF31" s="141">
        <v>1.861258320357019E-2</v>
      </c>
      <c r="AG31" s="141">
        <v>9.78732521863508E-3</v>
      </c>
      <c r="AH31" s="141">
        <v>2.236051995760055E-2</v>
      </c>
      <c r="AI31" s="141">
        <v>6.6434805543232522E-4</v>
      </c>
      <c r="AJ31" s="142">
        <v>1.275814766976254E-2</v>
      </c>
    </row>
    <row r="32" spans="1:36" ht="13.5" customHeight="1">
      <c r="A32" s="139" t="s">
        <v>77</v>
      </c>
      <c r="B32" s="140" t="s">
        <v>43</v>
      </c>
      <c r="C32" s="141">
        <v>1.661273226928597E-2</v>
      </c>
      <c r="D32" s="141">
        <v>4.8354700008279197E-2</v>
      </c>
      <c r="E32" s="141">
        <v>5.2737059132861377E-2</v>
      </c>
      <c r="F32" s="141">
        <v>2.6819855819570269E-2</v>
      </c>
      <c r="G32" s="141">
        <v>3.00440495194421E-2</v>
      </c>
      <c r="H32" s="141">
        <v>1.9890212990644938E-2</v>
      </c>
      <c r="I32" s="141">
        <v>5.0309968064942312E-2</v>
      </c>
      <c r="J32" s="141">
        <v>4.28792675401619E-2</v>
      </c>
      <c r="K32" s="141">
        <v>3.8412058936468658E-2</v>
      </c>
      <c r="L32" s="141">
        <v>3.1518088822639033E-2</v>
      </c>
      <c r="M32" s="141">
        <v>3.6354397803302622E-2</v>
      </c>
      <c r="N32" s="141">
        <v>3.9499574384906699E-2</v>
      </c>
      <c r="O32" s="141">
        <v>4.0465589333443922E-2</v>
      </c>
      <c r="P32" s="141">
        <v>3.7347735891168868E-2</v>
      </c>
      <c r="Q32" s="141">
        <v>4.7001152495939558E-2</v>
      </c>
      <c r="R32" s="141">
        <v>3.9309923421241018E-2</v>
      </c>
      <c r="S32" s="141">
        <v>1.5034559872572829E-2</v>
      </c>
      <c r="T32" s="141">
        <v>7.02630587989862E-2</v>
      </c>
      <c r="U32" s="141">
        <v>8.3633176309119039E-2</v>
      </c>
      <c r="V32" s="141">
        <v>5.7564736679286507E-2</v>
      </c>
      <c r="W32" s="141">
        <v>3.5769759312864073E-2</v>
      </c>
      <c r="X32" s="141">
        <v>2.277187606503964E-2</v>
      </c>
      <c r="Y32" s="141">
        <v>6.865177099386674E-2</v>
      </c>
      <c r="Z32" s="141">
        <v>2.9620475830973211E-2</v>
      </c>
      <c r="AA32" s="141">
        <v>1.555348255533079E-2</v>
      </c>
      <c r="AB32" s="141">
        <v>6.9751981021062517E-2</v>
      </c>
      <c r="AC32" s="141">
        <v>4.8503981915274677E-2</v>
      </c>
      <c r="AD32" s="141">
        <v>1.7187681593614799E-2</v>
      </c>
      <c r="AE32" s="141">
        <v>2.9808927681446579E-2</v>
      </c>
      <c r="AF32" s="141">
        <v>7.4365186122204406E-3</v>
      </c>
      <c r="AG32" s="141">
        <v>2.3320565140188231E-2</v>
      </c>
      <c r="AH32" s="141">
        <v>2.9637617545024291E-2</v>
      </c>
      <c r="AI32" s="141">
        <v>1.463956179721786E-3</v>
      </c>
      <c r="AJ32" s="142">
        <v>4.0761437338365882E-2</v>
      </c>
    </row>
    <row r="33" spans="1:36" ht="13.5" customHeight="1">
      <c r="A33" s="139" t="s">
        <v>78</v>
      </c>
      <c r="B33" s="140" t="s">
        <v>18</v>
      </c>
      <c r="C33" s="141">
        <v>3.140449091497174E-3</v>
      </c>
      <c r="D33" s="141">
        <v>4.8096749200286788E-2</v>
      </c>
      <c r="E33" s="141">
        <v>4.872530869756286E-3</v>
      </c>
      <c r="F33" s="141">
        <v>7.4710078282904371E-3</v>
      </c>
      <c r="G33" s="141">
        <v>1.177293040614385E-2</v>
      </c>
      <c r="H33" s="141">
        <v>4.5950972527273922E-3</v>
      </c>
      <c r="I33" s="141">
        <v>5.1715252600922227E-3</v>
      </c>
      <c r="J33" s="141">
        <v>6.7226764774140878E-3</v>
      </c>
      <c r="K33" s="141">
        <v>1.227891038912155E-2</v>
      </c>
      <c r="L33" s="141">
        <v>1.034287093188855E-2</v>
      </c>
      <c r="M33" s="141">
        <v>8.7135452009400004E-3</v>
      </c>
      <c r="N33" s="141">
        <v>5.8648244981793626E-3</v>
      </c>
      <c r="O33" s="141">
        <v>4.829025834029878E-3</v>
      </c>
      <c r="P33" s="141">
        <v>1.377915895467496E-2</v>
      </c>
      <c r="Q33" s="141">
        <v>7.4705797745237418E-3</v>
      </c>
      <c r="R33" s="141">
        <v>4.3569935838301363E-2</v>
      </c>
      <c r="S33" s="141">
        <v>8.955364889490159E-3</v>
      </c>
      <c r="T33" s="141">
        <v>3.8174698832652058E-2</v>
      </c>
      <c r="U33" s="141">
        <v>2.8482551568549029E-2</v>
      </c>
      <c r="V33" s="141">
        <v>3.2944736943203261E-2</v>
      </c>
      <c r="W33" s="141">
        <v>5.5454345193013371E-2</v>
      </c>
      <c r="X33" s="141">
        <v>8.5676944223017602E-3</v>
      </c>
      <c r="Y33" s="141">
        <v>4.4410095724967208E-2</v>
      </c>
      <c r="Z33" s="141">
        <v>4.3146820042110443E-2</v>
      </c>
      <c r="AA33" s="141">
        <v>4.4161535618302418E-2</v>
      </c>
      <c r="AB33" s="141">
        <v>4.8320669687678813E-2</v>
      </c>
      <c r="AC33" s="141">
        <v>8.8709515582448217E-2</v>
      </c>
      <c r="AD33" s="141">
        <v>2.9426239304735459E-2</v>
      </c>
      <c r="AE33" s="141">
        <v>2.517990317119918E-2</v>
      </c>
      <c r="AF33" s="141">
        <v>1.44071944702033E-2</v>
      </c>
      <c r="AG33" s="141">
        <v>5.3684200455640152E-2</v>
      </c>
      <c r="AH33" s="141">
        <v>1.138231239012347E-2</v>
      </c>
      <c r="AI33" s="141">
        <v>1.045426865040133E-3</v>
      </c>
      <c r="AJ33" s="142">
        <v>2.457615744641407E-2</v>
      </c>
    </row>
    <row r="34" spans="1:36" ht="13.5" customHeight="1">
      <c r="A34" s="139" t="s">
        <v>79</v>
      </c>
      <c r="B34" s="140" t="s">
        <v>80</v>
      </c>
      <c r="C34" s="141">
        <v>1.4733204398780799E-3</v>
      </c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</v>
      </c>
      <c r="Q34" s="141">
        <v>0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2.9766209042593628E-3</v>
      </c>
      <c r="X34" s="141">
        <v>0</v>
      </c>
      <c r="Y34" s="141">
        <v>0</v>
      </c>
      <c r="Z34" s="141">
        <v>0</v>
      </c>
      <c r="AA34" s="141">
        <v>0</v>
      </c>
      <c r="AB34" s="141">
        <v>0</v>
      </c>
      <c r="AC34" s="141">
        <v>0</v>
      </c>
      <c r="AD34" s="141">
        <v>0</v>
      </c>
      <c r="AE34" s="141">
        <v>0</v>
      </c>
      <c r="AF34" s="141">
        <v>0</v>
      </c>
      <c r="AG34" s="141">
        <v>0</v>
      </c>
      <c r="AH34" s="141">
        <v>0</v>
      </c>
      <c r="AI34" s="141">
        <v>0.86177815396500246</v>
      </c>
      <c r="AJ34" s="142">
        <v>8.8024187031511569E-4</v>
      </c>
    </row>
    <row r="35" spans="1:36" ht="13.5" customHeight="1">
      <c r="A35" s="139" t="s">
        <v>81</v>
      </c>
      <c r="B35" s="140" t="s">
        <v>19</v>
      </c>
      <c r="C35" s="141">
        <v>4.3932561546865762E-5</v>
      </c>
      <c r="D35" s="141">
        <v>2.102655785673292E-4</v>
      </c>
      <c r="E35" s="141">
        <v>2.2941425268118039E-4</v>
      </c>
      <c r="F35" s="141">
        <v>1.543611383020782E-4</v>
      </c>
      <c r="G35" s="141">
        <v>4.0621489871424079E-4</v>
      </c>
      <c r="H35" s="141">
        <v>1.8087031909058441E-4</v>
      </c>
      <c r="I35" s="141">
        <v>3.5949701196850818E-4</v>
      </c>
      <c r="J35" s="141">
        <v>3.9382205593961259E-4</v>
      </c>
      <c r="K35" s="141">
        <v>4.2494203933575258E-4</v>
      </c>
      <c r="L35" s="141">
        <v>7.8512791124148477E-4</v>
      </c>
      <c r="M35" s="141">
        <v>2.6232933654648198E-4</v>
      </c>
      <c r="N35" s="141">
        <v>4.4966959773499711E-4</v>
      </c>
      <c r="O35" s="141">
        <v>5.549661855674794E-4</v>
      </c>
      <c r="P35" s="141">
        <v>1.943164299573628E-4</v>
      </c>
      <c r="Q35" s="141">
        <v>1.5523471104801601E-4</v>
      </c>
      <c r="R35" s="141">
        <v>2.6072521004149689E-3</v>
      </c>
      <c r="S35" s="141">
        <v>1.7039296196963579E-4</v>
      </c>
      <c r="T35" s="141">
        <v>6.0554051267230663E-4</v>
      </c>
      <c r="U35" s="141">
        <v>2.1585544404543691E-4</v>
      </c>
      <c r="V35" s="141">
        <v>2.1793232972870408E-3</v>
      </c>
      <c r="W35" s="141">
        <v>3.1415552681261322E-4</v>
      </c>
      <c r="X35" s="141">
        <v>4.1797959167947919E-4</v>
      </c>
      <c r="Y35" s="141">
        <v>6.8699067680835291E-4</v>
      </c>
      <c r="Z35" s="141">
        <v>1.4718122185411631E-3</v>
      </c>
      <c r="AA35" s="141">
        <v>6.7863309784710877E-4</v>
      </c>
      <c r="AB35" s="141">
        <v>1.184381488698644E-3</v>
      </c>
      <c r="AC35" s="141">
        <v>5.7789791095279005E-4</v>
      </c>
      <c r="AD35" s="141">
        <v>7.5031232528103916E-5</v>
      </c>
      <c r="AE35" s="141">
        <v>4.9341385832642149E-4</v>
      </c>
      <c r="AF35" s="141">
        <v>1.096959527071362E-4</v>
      </c>
      <c r="AG35" s="141">
        <v>3.2458731190809781E-4</v>
      </c>
      <c r="AH35" s="141">
        <v>1.1505253393331619E-3</v>
      </c>
      <c r="AI35" s="141">
        <v>1.3466245441446831E-4</v>
      </c>
      <c r="AJ35" s="142">
        <v>6.2292883288032723E-4</v>
      </c>
    </row>
    <row r="36" spans="1:36" ht="13.5" customHeight="1">
      <c r="A36" s="139" t="s">
        <v>82</v>
      </c>
      <c r="B36" s="140" t="s">
        <v>138</v>
      </c>
      <c r="C36" s="141">
        <v>1.1388308233065991E-3</v>
      </c>
      <c r="D36" s="141">
        <v>2.7216250825808671E-3</v>
      </c>
      <c r="E36" s="141">
        <v>7.0408749540728773E-4</v>
      </c>
      <c r="F36" s="141">
        <v>7.7313123037115686E-4</v>
      </c>
      <c r="G36" s="141">
        <v>1.2405853707722291E-3</v>
      </c>
      <c r="H36" s="141">
        <v>1.836568604086544E-4</v>
      </c>
      <c r="I36" s="141">
        <v>5.7634065188738397E-4</v>
      </c>
      <c r="J36" s="141">
        <v>8.3381988074020686E-4</v>
      </c>
      <c r="K36" s="141">
        <v>5.863080804667819E-4</v>
      </c>
      <c r="L36" s="141">
        <v>1.272204797679451E-3</v>
      </c>
      <c r="M36" s="141">
        <v>4.7307832676333258E-4</v>
      </c>
      <c r="N36" s="141">
        <v>6.8670096520819109E-4</v>
      </c>
      <c r="O36" s="141">
        <v>1.1578989346931921E-3</v>
      </c>
      <c r="P36" s="141">
        <v>8.1919246094845893E-4</v>
      </c>
      <c r="Q36" s="141">
        <v>1.0588990483417749E-3</v>
      </c>
      <c r="R36" s="141">
        <v>2.145072999298571E-3</v>
      </c>
      <c r="S36" s="141">
        <v>2.4279596093850951E-4</v>
      </c>
      <c r="T36" s="141">
        <v>3.3896249242207112E-3</v>
      </c>
      <c r="U36" s="141">
        <v>1.157406991436689E-3</v>
      </c>
      <c r="V36" s="141">
        <v>3.26744517936694E-3</v>
      </c>
      <c r="W36" s="141">
        <v>6.7485395255556296E-4</v>
      </c>
      <c r="X36" s="141">
        <v>2.1937615313461409E-3</v>
      </c>
      <c r="Y36" s="141">
        <v>1.39763198749744E-3</v>
      </c>
      <c r="Z36" s="141">
        <v>1.85037286053872E-3</v>
      </c>
      <c r="AA36" s="141">
        <v>8.2542254797722807E-4</v>
      </c>
      <c r="AB36" s="141">
        <v>2.190464334423704E-3</v>
      </c>
      <c r="AC36" s="141">
        <v>1.8913948570890211E-3</v>
      </c>
      <c r="AD36" s="141">
        <v>3.6547487253737359E-4</v>
      </c>
      <c r="AE36" s="141">
        <v>1.905765916050368E-3</v>
      </c>
      <c r="AF36" s="141">
        <v>2.50200314894005E-3</v>
      </c>
      <c r="AG36" s="141">
        <v>3.146523219507375E-3</v>
      </c>
      <c r="AH36" s="141">
        <v>2.040573104584473E-3</v>
      </c>
      <c r="AI36" s="141">
        <v>1.699217065318661E-4</v>
      </c>
      <c r="AJ36" s="142">
        <v>1.3366016955884219E-3</v>
      </c>
    </row>
    <row r="37" spans="1:36" ht="13.5" customHeight="1">
      <c r="A37" s="139" t="s">
        <v>84</v>
      </c>
      <c r="B37" s="140" t="s">
        <v>85</v>
      </c>
      <c r="C37" s="141">
        <v>8.8599582635264862E-4</v>
      </c>
      <c r="D37" s="141">
        <v>6.8561597582846986E-3</v>
      </c>
      <c r="E37" s="141">
        <v>7.3351813560403219E-4</v>
      </c>
      <c r="F37" s="141">
        <v>1.376807283154741E-3</v>
      </c>
      <c r="G37" s="141">
        <v>1.7347950499981379E-3</v>
      </c>
      <c r="H37" s="141">
        <v>3.7353246546617248E-4</v>
      </c>
      <c r="I37" s="141">
        <v>8.7403368185058215E-4</v>
      </c>
      <c r="J37" s="141">
        <v>1.2638034463374611E-3</v>
      </c>
      <c r="K37" s="141">
        <v>1.3566347300241811E-3</v>
      </c>
      <c r="L37" s="141">
        <v>1.8345061119755921E-3</v>
      </c>
      <c r="M37" s="141">
        <v>4.0028862730846521E-4</v>
      </c>
      <c r="N37" s="141">
        <v>7.3776794586288775E-4</v>
      </c>
      <c r="O37" s="141">
        <v>1.213100648110383E-3</v>
      </c>
      <c r="P37" s="141">
        <v>3.3502239518285799E-4</v>
      </c>
      <c r="Q37" s="141">
        <v>1.140956123511826E-3</v>
      </c>
      <c r="R37" s="141">
        <v>2.7933220594965201E-3</v>
      </c>
      <c r="S37" s="141">
        <v>3.6557514959242822E-4</v>
      </c>
      <c r="T37" s="141">
        <v>2.9576052261512352E-3</v>
      </c>
      <c r="U37" s="141">
        <v>7.6662372611897541E-4</v>
      </c>
      <c r="V37" s="141">
        <v>9.8079977427450939E-4</v>
      </c>
      <c r="W37" s="141">
        <v>2.8830830580407799E-3</v>
      </c>
      <c r="X37" s="141">
        <v>6.0880287180142161E-4</v>
      </c>
      <c r="Y37" s="141">
        <v>9.4605146574906537E-3</v>
      </c>
      <c r="Z37" s="141">
        <v>2.6993565655525041E-3</v>
      </c>
      <c r="AA37" s="141">
        <v>9.9218542913961406E-4</v>
      </c>
      <c r="AB37" s="141">
        <v>5.4298937157909507E-3</v>
      </c>
      <c r="AC37" s="141">
        <v>3.709891576076871E-3</v>
      </c>
      <c r="AD37" s="141">
        <v>8.2265293919302142E-4</v>
      </c>
      <c r="AE37" s="141">
        <v>7.1484007376308141E-3</v>
      </c>
      <c r="AF37" s="141">
        <v>1.5519832670049269E-3</v>
      </c>
      <c r="AG37" s="141">
        <v>4.1598257352066452E-2</v>
      </c>
      <c r="AH37" s="141">
        <v>4.524270584667681E-3</v>
      </c>
      <c r="AI37" s="141">
        <v>3.1952452201302841E-4</v>
      </c>
      <c r="AJ37" s="142">
        <v>2.4189926428396661E-3</v>
      </c>
    </row>
    <row r="38" spans="1:36" ht="13.5" customHeight="1">
      <c r="A38" s="139" t="s">
        <v>86</v>
      </c>
      <c r="B38" s="140" t="s">
        <v>87</v>
      </c>
      <c r="C38" s="141">
        <v>1.3479492762259E-3</v>
      </c>
      <c r="D38" s="141">
        <v>5.8461340326666352E-3</v>
      </c>
      <c r="E38" s="141">
        <v>1.635631952409646E-3</v>
      </c>
      <c r="F38" s="141">
        <v>1.4622261475909701E-3</v>
      </c>
      <c r="G38" s="141">
        <v>1.999814834273997E-3</v>
      </c>
      <c r="H38" s="141">
        <v>8.4806006260678692E-4</v>
      </c>
      <c r="I38" s="141">
        <v>1.0194802742065081E-3</v>
      </c>
      <c r="J38" s="141">
        <v>2.7176810737426439E-3</v>
      </c>
      <c r="K38" s="141">
        <v>1.8957669798909749E-3</v>
      </c>
      <c r="L38" s="141">
        <v>2.6268754657505812E-3</v>
      </c>
      <c r="M38" s="141">
        <v>1.3473645716826641E-3</v>
      </c>
      <c r="N38" s="141">
        <v>1.7085152430508981E-3</v>
      </c>
      <c r="O38" s="141">
        <v>2.2262534550738411E-3</v>
      </c>
      <c r="P38" s="141">
        <v>1.0415005892390431E-3</v>
      </c>
      <c r="Q38" s="141">
        <v>1.294083263366001E-3</v>
      </c>
      <c r="R38" s="141">
        <v>6.4591647099294129E-3</v>
      </c>
      <c r="S38" s="141">
        <v>4.4070100765565128E-4</v>
      </c>
      <c r="T38" s="141">
        <v>8.704438525113746E-3</v>
      </c>
      <c r="U38" s="141">
        <v>1.738849806520339E-3</v>
      </c>
      <c r="V38" s="141">
        <v>8.976120255965345E-3</v>
      </c>
      <c r="W38" s="141">
        <v>1.495364666754855E-2</v>
      </c>
      <c r="X38" s="141">
        <v>2.8920315319759908E-3</v>
      </c>
      <c r="Y38" s="141">
        <v>3.352439561052481E-3</v>
      </c>
      <c r="Z38" s="141">
        <v>4.0313291948031694E-3</v>
      </c>
      <c r="AA38" s="141">
        <v>1.620283428688838E-3</v>
      </c>
      <c r="AB38" s="141">
        <v>7.4732855666152067E-3</v>
      </c>
      <c r="AC38" s="141">
        <v>1.011517102000211E-2</v>
      </c>
      <c r="AD38" s="141">
        <v>1.7553398374981881E-3</v>
      </c>
      <c r="AE38" s="141">
        <v>8.5155147146641109E-3</v>
      </c>
      <c r="AF38" s="141">
        <v>2.002795302930644E-3</v>
      </c>
      <c r="AG38" s="141">
        <v>8.0626431101068763E-3</v>
      </c>
      <c r="AH38" s="141">
        <v>7.7301851841752919E-3</v>
      </c>
      <c r="AI38" s="141">
        <v>1.6792965838964021E-4</v>
      </c>
      <c r="AJ38" s="142">
        <v>3.8387022301851551E-3</v>
      </c>
    </row>
    <row r="39" spans="1:36" ht="13.5" customHeight="1">
      <c r="A39" s="139" t="s">
        <v>88</v>
      </c>
      <c r="B39" s="140" t="s">
        <v>89</v>
      </c>
      <c r="C39" s="141">
        <v>3.6373838772548531E-3</v>
      </c>
      <c r="D39" s="141">
        <v>2.996847705955603E-3</v>
      </c>
      <c r="E39" s="141">
        <v>4.5662449691245561E-4</v>
      </c>
      <c r="F39" s="141">
        <v>2.6344015874767422E-4</v>
      </c>
      <c r="G39" s="141">
        <v>1.3459327434237509E-3</v>
      </c>
      <c r="H39" s="141">
        <v>7.8010696761856614E-4</v>
      </c>
      <c r="I39" s="141">
        <v>2.104611846220435E-3</v>
      </c>
      <c r="J39" s="141">
        <v>4.5540286400730438E-4</v>
      </c>
      <c r="K39" s="141">
        <v>2.2186137057267881E-4</v>
      </c>
      <c r="L39" s="141">
        <v>9.6565773391565197E-4</v>
      </c>
      <c r="M39" s="141">
        <v>1.991828104718634E-4</v>
      </c>
      <c r="N39" s="141">
        <v>3.1679819964523212E-4</v>
      </c>
      <c r="O39" s="141">
        <v>4.9242149591489264E-4</v>
      </c>
      <c r="P39" s="141">
        <v>7.1063379110660759E-5</v>
      </c>
      <c r="Q39" s="141">
        <v>6.5465998329352498E-4</v>
      </c>
      <c r="R39" s="141">
        <v>4.4787572196115172E-3</v>
      </c>
      <c r="S39" s="141">
        <v>9.3912267238401145E-4</v>
      </c>
      <c r="T39" s="141">
        <v>9.7964019252126016E-4</v>
      </c>
      <c r="U39" s="141">
        <v>9.4276415276362739E-5</v>
      </c>
      <c r="V39" s="141">
        <v>1.2412157893883029E-3</v>
      </c>
      <c r="W39" s="141">
        <v>2.4960754178675131E-4</v>
      </c>
      <c r="X39" s="141">
        <v>1.119525777823204E-3</v>
      </c>
      <c r="Y39" s="141">
        <v>1.9621139382731828E-3</v>
      </c>
      <c r="Z39" s="141">
        <v>2.5391093594691241E-4</v>
      </c>
      <c r="AA39" s="141">
        <v>1.9762733225079962E-3</v>
      </c>
      <c r="AB39" s="141">
        <v>6.7348643513370538E-4</v>
      </c>
      <c r="AC39" s="141">
        <v>1.246190899047194E-3</v>
      </c>
      <c r="AD39" s="141">
        <v>2.266142673710374E-4</v>
      </c>
      <c r="AE39" s="141">
        <v>2.3774289527098589E-4</v>
      </c>
      <c r="AF39" s="141">
        <v>1.705676240344435E-3</v>
      </c>
      <c r="AG39" s="141">
        <v>1.571113253182323E-3</v>
      </c>
      <c r="AH39" s="141">
        <v>6.6414122087940682E-4</v>
      </c>
      <c r="AI39" s="141">
        <v>2.1848584819119041E-2</v>
      </c>
      <c r="AJ39" s="142">
        <v>9.427552767268929E-4</v>
      </c>
    </row>
    <row r="40" spans="1:36" ht="13.5" customHeight="1">
      <c r="A40" s="145" t="s">
        <v>91</v>
      </c>
      <c r="B40" s="146" t="s">
        <v>20</v>
      </c>
      <c r="C40" s="147">
        <v>0.52879099629288295</v>
      </c>
      <c r="D40" s="147">
        <v>0.59503112399905611</v>
      </c>
      <c r="E40" s="147">
        <v>0.7645882565440616</v>
      </c>
      <c r="F40" s="147">
        <v>0.81668748237781608</v>
      </c>
      <c r="G40" s="147">
        <v>0.70875944926300216</v>
      </c>
      <c r="H40" s="147">
        <v>0.81315688817778464</v>
      </c>
      <c r="I40" s="147">
        <v>0.7582207434109115</v>
      </c>
      <c r="J40" s="147">
        <v>0.73591377380491718</v>
      </c>
      <c r="K40" s="147">
        <v>0.80499340194966618</v>
      </c>
      <c r="L40" s="147">
        <v>0.67506948886787788</v>
      </c>
      <c r="M40" s="147">
        <v>0.69333670540055914</v>
      </c>
      <c r="N40" s="147">
        <v>0.78197367651702721</v>
      </c>
      <c r="O40" s="147">
        <v>0.74756167497557857</v>
      </c>
      <c r="P40" s="147">
        <v>0.80051882436373811</v>
      </c>
      <c r="Q40" s="147">
        <v>0.72921261934856085</v>
      </c>
      <c r="R40" s="147">
        <v>0.52813055061708247</v>
      </c>
      <c r="S40" s="147">
        <v>0.79542594614408868</v>
      </c>
      <c r="T40" s="147">
        <v>0.55102234454300603</v>
      </c>
      <c r="U40" s="147">
        <v>0.58220110543501735</v>
      </c>
      <c r="V40" s="147">
        <v>0.46433107425576081</v>
      </c>
      <c r="W40" s="147">
        <v>0.56586619194115217</v>
      </c>
      <c r="X40" s="147">
        <v>0.6733958459326429</v>
      </c>
      <c r="Y40" s="147">
        <v>0.47669238276480869</v>
      </c>
      <c r="Z40" s="147">
        <v>0.37532411868020321</v>
      </c>
      <c r="AA40" s="147">
        <v>0.29820575714779429</v>
      </c>
      <c r="AB40" s="147">
        <v>0.48074183762194711</v>
      </c>
      <c r="AC40" s="147">
        <v>0.38868816723797472</v>
      </c>
      <c r="AD40" s="147">
        <v>0.25792379159961121</v>
      </c>
      <c r="AE40" s="147">
        <v>0.33055111793942782</v>
      </c>
      <c r="AF40" s="147">
        <v>0.41333795918063021</v>
      </c>
      <c r="AG40" s="147">
        <v>0.44081568987771202</v>
      </c>
      <c r="AH40" s="147">
        <v>0.54960222788901703</v>
      </c>
      <c r="AI40" s="147">
        <v>1</v>
      </c>
      <c r="AJ40" s="148">
        <v>0.5881459644073338</v>
      </c>
    </row>
    <row r="41" spans="1:36" ht="13.5" customHeight="1">
      <c r="A41" s="149" t="s">
        <v>92</v>
      </c>
      <c r="B41" s="150" t="s">
        <v>21</v>
      </c>
      <c r="C41" s="151">
        <v>9.8706596495718016E-2</v>
      </c>
      <c r="D41" s="151">
        <v>0.14326783122507669</v>
      </c>
      <c r="E41" s="151">
        <v>8.2941662665048085E-2</v>
      </c>
      <c r="F41" s="151">
        <v>9.8946245066251715E-2</v>
      </c>
      <c r="G41" s="151">
        <v>0.13772227519047411</v>
      </c>
      <c r="H41" s="151">
        <v>1.0474336956935811E-2</v>
      </c>
      <c r="I41" s="151">
        <v>8.7686245464727572E-2</v>
      </c>
      <c r="J41" s="151">
        <v>0.110013995566654</v>
      </c>
      <c r="K41" s="151">
        <v>6.7091399568331503E-2</v>
      </c>
      <c r="L41" s="151">
        <v>0.16210249377819219</v>
      </c>
      <c r="M41" s="151">
        <v>0.11985258802292729</v>
      </c>
      <c r="N41" s="151">
        <v>0.1081566986654575</v>
      </c>
      <c r="O41" s="151">
        <v>0.1532078241859447</v>
      </c>
      <c r="P41" s="151">
        <v>7.3053927894802917E-2</v>
      </c>
      <c r="Q41" s="151">
        <v>0.15307331041286321</v>
      </c>
      <c r="R41" s="151">
        <v>0.31396637269982219</v>
      </c>
      <c r="S41" s="151">
        <v>4.7660740986874887E-2</v>
      </c>
      <c r="T41" s="151">
        <v>0.22253258569220041</v>
      </c>
      <c r="U41" s="151">
        <v>0.31635890932241922</v>
      </c>
      <c r="V41" s="151">
        <v>0.26696575583375048</v>
      </c>
      <c r="W41" s="151">
        <v>0.2078192106366834</v>
      </c>
      <c r="X41" s="151">
        <v>0.16634546341988249</v>
      </c>
      <c r="Y41" s="151">
        <v>0.22193331568414901</v>
      </c>
      <c r="Z41" s="151">
        <v>0.22549722446019449</v>
      </c>
      <c r="AA41" s="151">
        <v>8.672416294777556E-2</v>
      </c>
      <c r="AB41" s="151">
        <v>0.33598679499220913</v>
      </c>
      <c r="AC41" s="151">
        <v>0.36739473197031552</v>
      </c>
      <c r="AD41" s="151">
        <v>0.44372851827993198</v>
      </c>
      <c r="AE41" s="151">
        <v>0.5489444317174097</v>
      </c>
      <c r="AF41" s="151">
        <v>0.41771376906381852</v>
      </c>
      <c r="AG41" s="151">
        <v>0.22141647516540761</v>
      </c>
      <c r="AH41" s="151">
        <v>0.260542059285088</v>
      </c>
      <c r="AI41" s="151">
        <v>0</v>
      </c>
      <c r="AJ41" s="152">
        <v>0.20225303610921991</v>
      </c>
    </row>
    <row r="42" spans="1:36" ht="13.5" customHeight="1">
      <c r="A42" s="149" t="s">
        <v>93</v>
      </c>
      <c r="B42" s="123" t="s">
        <v>22</v>
      </c>
      <c r="C42" s="128">
        <v>0.28069619311933192</v>
      </c>
      <c r="D42" s="128">
        <v>0.1704549827967087</v>
      </c>
      <c r="E42" s="128">
        <v>3.424824081610376E-2</v>
      </c>
      <c r="F42" s="128">
        <v>1.7538817550351159E-2</v>
      </c>
      <c r="G42" s="128">
        <v>0.1052260116213095</v>
      </c>
      <c r="H42" s="128">
        <v>5.7545691659937337E-2</v>
      </c>
      <c r="I42" s="128">
        <v>7.0960147548729605E-2</v>
      </c>
      <c r="J42" s="128">
        <v>4.0551729413378472E-2</v>
      </c>
      <c r="K42" s="128">
        <v>6.5987606029151408E-2</v>
      </c>
      <c r="L42" s="128">
        <v>0.11348918600243101</v>
      </c>
      <c r="M42" s="128">
        <v>-8.4159576208670313E-3</v>
      </c>
      <c r="N42" s="128">
        <v>2.9469966129254902E-3</v>
      </c>
      <c r="O42" s="128">
        <v>2.787721032008621E-2</v>
      </c>
      <c r="P42" s="128">
        <v>2.4715308158536571E-2</v>
      </c>
      <c r="Q42" s="128">
        <v>5.1923436844677082E-2</v>
      </c>
      <c r="R42" s="128">
        <v>4.7370331076844248E-2</v>
      </c>
      <c r="S42" s="128">
        <v>-7.748676809151971E-4</v>
      </c>
      <c r="T42" s="128">
        <v>9.7315511224904311E-2</v>
      </c>
      <c r="U42" s="128">
        <v>1.947445104617003E-2</v>
      </c>
      <c r="V42" s="128">
        <v>0.179143125683046</v>
      </c>
      <c r="W42" s="128">
        <v>7.5480548537718267E-2</v>
      </c>
      <c r="X42" s="128">
        <v>7.9792226728270993E-2</v>
      </c>
      <c r="Y42" s="128">
        <v>0.1104030416611619</v>
      </c>
      <c r="Z42" s="128">
        <v>0.29842382358424568</v>
      </c>
      <c r="AA42" s="128">
        <v>0.2373211656373678</v>
      </c>
      <c r="AB42" s="128">
        <v>9.2322050532230721E-2</v>
      </c>
      <c r="AC42" s="128">
        <v>0.17043696252694771</v>
      </c>
      <c r="AD42" s="128">
        <v>0</v>
      </c>
      <c r="AE42" s="128">
        <v>3.7277545609551939E-2</v>
      </c>
      <c r="AF42" s="128">
        <v>0.10443968222250639</v>
      </c>
      <c r="AG42" s="128">
        <v>0.13859637107954101</v>
      </c>
      <c r="AH42" s="128">
        <v>9.3222074503203828E-2</v>
      </c>
      <c r="AI42" s="128">
        <v>0</v>
      </c>
      <c r="AJ42" s="142">
        <v>8.5701354290843648E-2</v>
      </c>
    </row>
    <row r="43" spans="1:36" ht="13.5" customHeight="1">
      <c r="A43" s="149" t="s">
        <v>94</v>
      </c>
      <c r="B43" s="123" t="s">
        <v>23</v>
      </c>
      <c r="C43" s="128">
        <v>9.2170959661443314E-2</v>
      </c>
      <c r="D43" s="128">
        <v>9.2521735734841584E-2</v>
      </c>
      <c r="E43" s="128">
        <v>3.9388920564657093E-2</v>
      </c>
      <c r="F43" s="128">
        <v>3.7165715134059148E-2</v>
      </c>
      <c r="G43" s="128">
        <v>2.8468337749853669E-2</v>
      </c>
      <c r="H43" s="128">
        <v>1.800492522310709E-2</v>
      </c>
      <c r="I43" s="128">
        <v>7.1093611438383719E-2</v>
      </c>
      <c r="J43" s="128">
        <v>9.5593993522092482E-2</v>
      </c>
      <c r="K43" s="128">
        <v>5.5684405668328468E-2</v>
      </c>
      <c r="L43" s="128">
        <v>3.8882841310206598E-2</v>
      </c>
      <c r="M43" s="128">
        <v>0.1875485093989703</v>
      </c>
      <c r="N43" s="128">
        <v>9.5656223060062107E-2</v>
      </c>
      <c r="O43" s="128">
        <v>6.1403967459660119E-2</v>
      </c>
      <c r="P43" s="128">
        <v>8.0398923435188799E-2</v>
      </c>
      <c r="Q43" s="128">
        <v>3.1321375619319303E-2</v>
      </c>
      <c r="R43" s="128">
        <v>0.1048625704141327</v>
      </c>
      <c r="S43" s="128">
        <v>0.13374813751163639</v>
      </c>
      <c r="T43" s="128">
        <v>0.12652468885634161</v>
      </c>
      <c r="U43" s="128">
        <v>1.9770580965866709E-2</v>
      </c>
      <c r="V43" s="128">
        <v>4.5664785096306608E-2</v>
      </c>
      <c r="W43" s="128">
        <v>0.16424188906922249</v>
      </c>
      <c r="X43" s="128">
        <v>2.400955459055628E-2</v>
      </c>
      <c r="Y43" s="128">
        <v>0.16152378372652881</v>
      </c>
      <c r="Z43" s="128">
        <v>5.622522724030686E-2</v>
      </c>
      <c r="AA43" s="128">
        <v>0.25488051191966282</v>
      </c>
      <c r="AB43" s="128">
        <v>8.0538436036950267E-2</v>
      </c>
      <c r="AC43" s="128">
        <v>4.98196962952695E-2</v>
      </c>
      <c r="AD43" s="128">
        <v>0.29833037142301572</v>
      </c>
      <c r="AE43" s="128">
        <v>8.1869269890357005E-2</v>
      </c>
      <c r="AF43" s="128">
        <v>6.3509886368271498E-2</v>
      </c>
      <c r="AG43" s="128">
        <v>9.9522540889446509E-2</v>
      </c>
      <c r="AH43" s="128">
        <v>5.739315440915739E-2</v>
      </c>
      <c r="AI43" s="128">
        <v>0</v>
      </c>
      <c r="AJ43" s="142">
        <v>9.3176038363685321E-2</v>
      </c>
    </row>
    <row r="44" spans="1:36" ht="13.5" customHeight="1">
      <c r="A44" s="149" t="s">
        <v>95</v>
      </c>
      <c r="B44" s="123" t="s">
        <v>149</v>
      </c>
      <c r="C44" s="128">
        <v>-3.6474556937619098E-4</v>
      </c>
      <c r="D44" s="128">
        <v>-1.2756737556830369E-3</v>
      </c>
      <c r="E44" s="128">
        <v>7.8832919410129487E-2</v>
      </c>
      <c r="F44" s="128">
        <v>2.966173987152193E-2</v>
      </c>
      <c r="G44" s="128">
        <v>1.9823926175360509E-2</v>
      </c>
      <c r="H44" s="128">
        <v>0.1008181579822351</v>
      </c>
      <c r="I44" s="128">
        <v>1.2039252137247649E-2</v>
      </c>
      <c r="J44" s="128">
        <v>1.7926507692957859E-2</v>
      </c>
      <c r="K44" s="128">
        <v>6.2431867845224838E-3</v>
      </c>
      <c r="L44" s="128">
        <v>1.045599004129236E-2</v>
      </c>
      <c r="M44" s="128">
        <v>7.678154798410242E-3</v>
      </c>
      <c r="N44" s="128">
        <v>1.126640514452769E-2</v>
      </c>
      <c r="O44" s="128">
        <v>9.9493230587304454E-3</v>
      </c>
      <c r="P44" s="128">
        <v>2.131301614773359E-2</v>
      </c>
      <c r="Q44" s="128">
        <v>3.4469257774579647E-2</v>
      </c>
      <c r="R44" s="128">
        <v>5.6701751921183693E-3</v>
      </c>
      <c r="S44" s="128">
        <v>2.3940043038315179E-2</v>
      </c>
      <c r="T44" s="128">
        <v>2.6048696835476049E-3</v>
      </c>
      <c r="U44" s="128">
        <v>6.2194953230526658E-2</v>
      </c>
      <c r="V44" s="128">
        <v>4.3895259131136032E-2</v>
      </c>
      <c r="W44" s="128">
        <v>-1.3407840184776389E-2</v>
      </c>
      <c r="X44" s="128">
        <v>5.6456909328647283E-2</v>
      </c>
      <c r="Y44" s="128">
        <v>2.9447476163351569E-2</v>
      </c>
      <c r="Z44" s="128">
        <v>4.4529606035049733E-2</v>
      </c>
      <c r="AA44" s="128">
        <v>0.1228684023473995</v>
      </c>
      <c r="AB44" s="128">
        <v>1.0410880816662889E-2</v>
      </c>
      <c r="AC44" s="128">
        <v>2.3660441969492602E-2</v>
      </c>
      <c r="AD44" s="128">
        <v>1.73186974410178E-5</v>
      </c>
      <c r="AE44" s="128">
        <v>1.3576348432535171E-3</v>
      </c>
      <c r="AF44" s="128">
        <v>9.9870316477340985E-4</v>
      </c>
      <c r="AG44" s="128">
        <v>9.9648922987892893E-2</v>
      </c>
      <c r="AH44" s="128">
        <v>3.92404839135337E-2</v>
      </c>
      <c r="AI44" s="128">
        <v>0</v>
      </c>
      <c r="AJ44" s="142">
        <v>3.0723606828917258E-2</v>
      </c>
    </row>
    <row r="45" spans="1:36" ht="13.5" customHeight="1">
      <c r="A45" s="153" t="s">
        <v>96</v>
      </c>
      <c r="B45" s="143" t="s">
        <v>24</v>
      </c>
      <c r="C45" s="154">
        <v>0.47120900370711699</v>
      </c>
      <c r="D45" s="154">
        <v>0.40496887600094389</v>
      </c>
      <c r="E45" s="154">
        <v>0.2354117434559384</v>
      </c>
      <c r="F45" s="154">
        <v>0.18331251762218401</v>
      </c>
      <c r="G45" s="154">
        <v>0.29124055073699778</v>
      </c>
      <c r="H45" s="154">
        <v>0.1868431118222153</v>
      </c>
      <c r="I45" s="154">
        <v>0.24177925658908861</v>
      </c>
      <c r="J45" s="154">
        <v>0.26408622619508282</v>
      </c>
      <c r="K45" s="154">
        <v>0.19500659805033391</v>
      </c>
      <c r="L45" s="154">
        <v>0.32493051113212212</v>
      </c>
      <c r="M45" s="154">
        <v>0.30666329459944081</v>
      </c>
      <c r="N45" s="154">
        <v>0.21802632348297279</v>
      </c>
      <c r="O45" s="154">
        <v>0.25243832502442148</v>
      </c>
      <c r="P45" s="154">
        <v>0.19948117563626189</v>
      </c>
      <c r="Q45" s="154">
        <v>0.2707873806514392</v>
      </c>
      <c r="R45" s="154">
        <v>0.47186944938291753</v>
      </c>
      <c r="S45" s="154">
        <v>0.20457405385591129</v>
      </c>
      <c r="T45" s="154">
        <v>0.44897765545699397</v>
      </c>
      <c r="U45" s="154">
        <v>0.41779889456498259</v>
      </c>
      <c r="V45" s="154">
        <v>0.53566892574423919</v>
      </c>
      <c r="W45" s="154">
        <v>0.43413380805884783</v>
      </c>
      <c r="X45" s="154">
        <v>0.32660415406735699</v>
      </c>
      <c r="Y45" s="154">
        <v>0.52330761723519126</v>
      </c>
      <c r="Z45" s="154">
        <v>0.62467588131979679</v>
      </c>
      <c r="AA45" s="154">
        <v>0.70179424285220571</v>
      </c>
      <c r="AB45" s="154">
        <v>0.519258162378053</v>
      </c>
      <c r="AC45" s="154">
        <v>0.61131183276202539</v>
      </c>
      <c r="AD45" s="154">
        <v>0.74207620840038879</v>
      </c>
      <c r="AE45" s="154">
        <v>0.66944888206057218</v>
      </c>
      <c r="AF45" s="154">
        <v>0.58666204081936979</v>
      </c>
      <c r="AG45" s="154">
        <v>0.55918431012228798</v>
      </c>
      <c r="AH45" s="154">
        <v>0.45039777211098292</v>
      </c>
      <c r="AI45" s="154">
        <v>0</v>
      </c>
      <c r="AJ45" s="144">
        <v>0.41185403559266609</v>
      </c>
    </row>
    <row r="46" spans="1:36" ht="13.5" customHeight="1">
      <c r="A46" s="153" t="s">
        <v>97</v>
      </c>
      <c r="B46" s="143" t="s">
        <v>41</v>
      </c>
      <c r="C46" s="154">
        <v>1</v>
      </c>
      <c r="D46" s="154">
        <v>1</v>
      </c>
      <c r="E46" s="154">
        <v>1</v>
      </c>
      <c r="F46" s="154">
        <v>1</v>
      </c>
      <c r="G46" s="154">
        <v>1</v>
      </c>
      <c r="H46" s="154">
        <v>1</v>
      </c>
      <c r="I46" s="154">
        <v>1</v>
      </c>
      <c r="J46" s="154">
        <v>1</v>
      </c>
      <c r="K46" s="154">
        <v>1</v>
      </c>
      <c r="L46" s="154">
        <v>1</v>
      </c>
      <c r="M46" s="154">
        <v>1</v>
      </c>
      <c r="N46" s="154">
        <v>1</v>
      </c>
      <c r="O46" s="154">
        <v>1</v>
      </c>
      <c r="P46" s="154">
        <v>1</v>
      </c>
      <c r="Q46" s="154">
        <v>1</v>
      </c>
      <c r="R46" s="154">
        <v>1</v>
      </c>
      <c r="S46" s="154">
        <v>1</v>
      </c>
      <c r="T46" s="154">
        <v>1</v>
      </c>
      <c r="U46" s="154">
        <v>1</v>
      </c>
      <c r="V46" s="154">
        <v>1</v>
      </c>
      <c r="W46" s="154">
        <v>1</v>
      </c>
      <c r="X46" s="154">
        <v>1</v>
      </c>
      <c r="Y46" s="154">
        <v>1</v>
      </c>
      <c r="Z46" s="154">
        <v>1</v>
      </c>
      <c r="AA46" s="154">
        <v>1</v>
      </c>
      <c r="AB46" s="154">
        <v>1</v>
      </c>
      <c r="AC46" s="154">
        <v>1</v>
      </c>
      <c r="AD46" s="154">
        <v>1</v>
      </c>
      <c r="AE46" s="154">
        <v>1</v>
      </c>
      <c r="AF46" s="154">
        <v>1</v>
      </c>
      <c r="AG46" s="154">
        <v>1</v>
      </c>
      <c r="AH46" s="154">
        <v>1</v>
      </c>
      <c r="AI46" s="154">
        <v>1</v>
      </c>
      <c r="AJ46" s="144">
        <v>1</v>
      </c>
    </row>
  </sheetData>
  <mergeCells count="1">
    <mergeCell ref="A5:B6"/>
  </mergeCells>
  <phoneticPr fontId="19" type="noConversion"/>
  <conditionalFormatting sqref="C1:AI1">
    <cfRule type="cellIs" dxfId="9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BBC1-4F8D-4A48-806D-6B4504204CBF}">
  <sheetPr>
    <tabColor theme="5"/>
  </sheetPr>
  <dimension ref="A1:BC186"/>
  <sheetViews>
    <sheetView tabSelected="1" zoomScaleNormal="100" workbookViewId="0">
      <pane xSplit="2" ySplit="6" topLeftCell="D7" activePane="bottomRight" state="frozen"/>
      <selection activeCell="B1" sqref="B1"/>
      <selection pane="topRight" activeCell="B1" sqref="B1"/>
      <selection pane="bottomLeft" activeCell="B1" sqref="B1"/>
      <selection pane="bottomRight" activeCell="D14" sqref="D14"/>
    </sheetView>
  </sheetViews>
  <sheetFormatPr defaultColWidth="18.625" defaultRowHeight="13.5" customHeight="1"/>
  <cols>
    <col min="1" max="1" width="5.625" style="73" customWidth="1"/>
    <col min="2" max="2" width="21.75" style="73" customWidth="1"/>
    <col min="3" max="10" width="18.625" style="73"/>
    <col min="11" max="12" width="18.625" style="100"/>
    <col min="13" max="16384" width="18.625" style="73"/>
  </cols>
  <sheetData>
    <row r="1" spans="1:55" ht="13.5" customHeight="1">
      <c r="A1" s="73" t="s">
        <v>131</v>
      </c>
      <c r="C1" s="74"/>
      <c r="D1" s="74"/>
      <c r="E1" s="74"/>
      <c r="F1" s="74"/>
      <c r="G1" s="74"/>
      <c r="H1" s="74"/>
      <c r="I1" s="74"/>
      <c r="J1" s="74"/>
      <c r="K1" s="99"/>
      <c r="L1" s="99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N1" s="75"/>
      <c r="AQ1" s="75"/>
    </row>
    <row r="2" spans="1:55" ht="13.5" customHeight="1">
      <c r="A2" s="73" t="s">
        <v>132</v>
      </c>
      <c r="B2" s="76"/>
      <c r="K2" s="100" t="s">
        <v>139</v>
      </c>
    </row>
    <row r="3" spans="1:55" ht="13.5" customHeight="1">
      <c r="A3" s="73" t="s">
        <v>133</v>
      </c>
      <c r="K3" s="100">
        <f>cases2!B6-cases2!D43-SUM(cases2!D44:D46)</f>
        <v>350</v>
      </c>
    </row>
    <row r="4" spans="1:55" s="78" customFormat="1" ht="13.5" customHeight="1">
      <c r="A4" s="21" t="s">
        <v>134</v>
      </c>
      <c r="B4" s="77"/>
      <c r="K4" s="101"/>
      <c r="L4" s="101"/>
      <c r="AM4" s="73"/>
      <c r="AN4" s="30"/>
      <c r="AO4" s="30"/>
      <c r="AP4" s="30"/>
      <c r="AQ4" s="30"/>
      <c r="AR4" s="30"/>
      <c r="AS4" s="30"/>
      <c r="AT4" s="30"/>
      <c r="AU4" s="30"/>
    </row>
    <row r="5" spans="1:55" s="78" customFormat="1" ht="13.5" customHeight="1">
      <c r="A5" s="178" t="s">
        <v>25</v>
      </c>
      <c r="B5" s="179"/>
      <c r="C5" s="79" t="s">
        <v>44</v>
      </c>
      <c r="D5" s="79" t="s">
        <v>45</v>
      </c>
      <c r="E5" s="79" t="s">
        <v>46</v>
      </c>
      <c r="F5" s="80" t="s">
        <v>47</v>
      </c>
      <c r="G5" s="81" t="s">
        <v>48</v>
      </c>
      <c r="H5" s="81" t="s">
        <v>49</v>
      </c>
      <c r="I5" s="81" t="s">
        <v>50</v>
      </c>
      <c r="J5" s="81"/>
      <c r="K5" s="102"/>
      <c r="L5" s="102"/>
      <c r="M5" s="81" t="s">
        <v>51</v>
      </c>
      <c r="N5" s="81" t="s">
        <v>52</v>
      </c>
      <c r="O5" s="81" t="s">
        <v>53</v>
      </c>
      <c r="P5" s="81" t="s">
        <v>55</v>
      </c>
      <c r="Q5" s="81" t="s">
        <v>57</v>
      </c>
      <c r="R5" s="81" t="s">
        <v>59</v>
      </c>
      <c r="S5" s="81" t="s">
        <v>60</v>
      </c>
      <c r="T5" s="81" t="s">
        <v>61</v>
      </c>
      <c r="U5" s="81" t="s">
        <v>63</v>
      </c>
      <c r="V5" s="81" t="s">
        <v>65</v>
      </c>
      <c r="W5" s="81" t="s">
        <v>66</v>
      </c>
      <c r="X5" s="81" t="s">
        <v>68</v>
      </c>
      <c r="Y5" s="81" t="s">
        <v>69</v>
      </c>
      <c r="Z5" s="81" t="s">
        <v>71</v>
      </c>
      <c r="AA5" s="81" t="s">
        <v>72</v>
      </c>
      <c r="AB5" s="81" t="s">
        <v>73</v>
      </c>
      <c r="AC5" s="81" t="s">
        <v>74</v>
      </c>
      <c r="AD5" s="81" t="s">
        <v>75</v>
      </c>
      <c r="AE5" s="81" t="s">
        <v>77</v>
      </c>
      <c r="AF5" s="81" t="s">
        <v>78</v>
      </c>
      <c r="AG5" s="81" t="s">
        <v>79</v>
      </c>
      <c r="AH5" s="81" t="s">
        <v>81</v>
      </c>
      <c r="AI5" s="81" t="s">
        <v>82</v>
      </c>
      <c r="AJ5" s="81" t="s">
        <v>84</v>
      </c>
      <c r="AK5" s="81" t="s">
        <v>86</v>
      </c>
      <c r="AL5" s="81" t="s">
        <v>88</v>
      </c>
      <c r="AM5" s="82" t="s">
        <v>98</v>
      </c>
      <c r="AN5" s="81" t="s">
        <v>99</v>
      </c>
      <c r="AO5" s="81" t="s">
        <v>100</v>
      </c>
      <c r="AP5" s="81" t="s">
        <v>101</v>
      </c>
      <c r="AQ5" s="81" t="s">
        <v>102</v>
      </c>
      <c r="AR5" s="81" t="s">
        <v>103</v>
      </c>
      <c r="AS5" s="81" t="s">
        <v>104</v>
      </c>
      <c r="AT5" s="81" t="s">
        <v>105</v>
      </c>
      <c r="AU5" s="82" t="s">
        <v>106</v>
      </c>
      <c r="AV5" s="83" t="s">
        <v>107</v>
      </c>
      <c r="AW5" s="84" t="s">
        <v>108</v>
      </c>
      <c r="AX5" s="81" t="s">
        <v>109</v>
      </c>
      <c r="AY5" s="81" t="s">
        <v>110</v>
      </c>
      <c r="AZ5" s="81" t="s">
        <v>111</v>
      </c>
      <c r="BA5" s="81" t="s">
        <v>112</v>
      </c>
      <c r="BB5" s="81" t="s">
        <v>113</v>
      </c>
      <c r="BC5" s="83" t="s">
        <v>114</v>
      </c>
    </row>
    <row r="6" spans="1:55" ht="39.950000000000003" customHeight="1">
      <c r="A6" s="180"/>
      <c r="B6" s="181"/>
      <c r="C6" s="85" t="s">
        <v>2</v>
      </c>
      <c r="D6" s="85" t="s">
        <v>3</v>
      </c>
      <c r="E6" s="85" t="s">
        <v>4</v>
      </c>
      <c r="F6" s="85" t="s">
        <v>5</v>
      </c>
      <c r="G6" s="85" t="s">
        <v>6</v>
      </c>
      <c r="H6" s="85" t="s">
        <v>7</v>
      </c>
      <c r="I6" s="85" t="s">
        <v>8</v>
      </c>
      <c r="J6" s="85" t="s">
        <v>143</v>
      </c>
      <c r="K6" s="103" t="s">
        <v>141</v>
      </c>
      <c r="L6" s="103" t="s">
        <v>142</v>
      </c>
      <c r="M6" s="85" t="s">
        <v>9</v>
      </c>
      <c r="N6" s="85" t="s">
        <v>10</v>
      </c>
      <c r="O6" s="85" t="s">
        <v>54</v>
      </c>
      <c r="P6" s="85" t="s">
        <v>56</v>
      </c>
      <c r="Q6" s="85" t="s">
        <v>58</v>
      </c>
      <c r="R6" s="85" t="s">
        <v>11</v>
      </c>
      <c r="S6" s="85" t="s">
        <v>12</v>
      </c>
      <c r="T6" s="85" t="s">
        <v>135</v>
      </c>
      <c r="U6" s="85" t="s">
        <v>64</v>
      </c>
      <c r="V6" s="85" t="s">
        <v>13</v>
      </c>
      <c r="W6" s="85" t="s">
        <v>67</v>
      </c>
      <c r="X6" s="85" t="s">
        <v>14</v>
      </c>
      <c r="Y6" s="85" t="s">
        <v>70</v>
      </c>
      <c r="Z6" s="85" t="s">
        <v>42</v>
      </c>
      <c r="AA6" s="85" t="s">
        <v>15</v>
      </c>
      <c r="AB6" s="85" t="s">
        <v>136</v>
      </c>
      <c r="AC6" s="85" t="s">
        <v>137</v>
      </c>
      <c r="AD6" s="85" t="s">
        <v>76</v>
      </c>
      <c r="AE6" s="85" t="s">
        <v>43</v>
      </c>
      <c r="AF6" s="85" t="s">
        <v>18</v>
      </c>
      <c r="AG6" s="85" t="s">
        <v>80</v>
      </c>
      <c r="AH6" s="85" t="s">
        <v>19</v>
      </c>
      <c r="AI6" s="85" t="s">
        <v>138</v>
      </c>
      <c r="AJ6" s="85" t="s">
        <v>85</v>
      </c>
      <c r="AK6" s="85" t="s">
        <v>87</v>
      </c>
      <c r="AL6" s="85" t="s">
        <v>89</v>
      </c>
      <c r="AM6" s="86" t="s">
        <v>26</v>
      </c>
      <c r="AN6" s="87" t="s">
        <v>38</v>
      </c>
      <c r="AO6" s="85" t="s">
        <v>27</v>
      </c>
      <c r="AP6" s="85" t="s">
        <v>28</v>
      </c>
      <c r="AQ6" s="85" t="s">
        <v>29</v>
      </c>
      <c r="AR6" s="85" t="s">
        <v>30</v>
      </c>
      <c r="AS6" s="85" t="s">
        <v>31</v>
      </c>
      <c r="AT6" s="85" t="s">
        <v>32</v>
      </c>
      <c r="AU6" s="86" t="s">
        <v>33</v>
      </c>
      <c r="AV6" s="88" t="s">
        <v>34</v>
      </c>
      <c r="AW6" s="89" t="s">
        <v>0</v>
      </c>
      <c r="AX6" s="85" t="s">
        <v>1</v>
      </c>
      <c r="AY6" s="85" t="s">
        <v>35</v>
      </c>
      <c r="AZ6" s="87" t="s">
        <v>90</v>
      </c>
      <c r="BA6" s="85" t="s">
        <v>36</v>
      </c>
      <c r="BB6" s="85" t="s">
        <v>37</v>
      </c>
      <c r="BC6" s="90" t="s">
        <v>40</v>
      </c>
    </row>
    <row r="7" spans="1:55" ht="13.5" customHeight="1">
      <c r="A7" s="72" t="s">
        <v>44</v>
      </c>
      <c r="B7" s="77" t="s">
        <v>2</v>
      </c>
      <c r="C7" s="38">
        <v>4256311</v>
      </c>
      <c r="D7" s="38">
        <v>3473</v>
      </c>
      <c r="E7" s="38">
        <v>44787107</v>
      </c>
      <c r="F7" s="38">
        <v>264444</v>
      </c>
      <c r="G7" s="38">
        <v>661849</v>
      </c>
      <c r="H7" s="38">
        <v>4203</v>
      </c>
      <c r="I7" s="38">
        <v>1326559</v>
      </c>
      <c r="J7" s="38">
        <f>I7-L7</f>
        <v>1326557.2875702954</v>
      </c>
      <c r="K7" s="104">
        <f>'총투입계수(A)'!I7*cases2!$B$6</f>
        <v>3.5222162892547222</v>
      </c>
      <c r="L7" s="104">
        <f t="shared" ref="L7:L18" si="0">K7/SUM($K$7:$K$18,$K$20:$K$22,$K$24:$K$39)*$K$3</f>
        <v>1.7124297046644805</v>
      </c>
      <c r="M7" s="38">
        <v>3614</v>
      </c>
      <c r="N7" s="38">
        <v>6461</v>
      </c>
      <c r="O7" s="38">
        <v>7383</v>
      </c>
      <c r="P7" s="38">
        <v>7338</v>
      </c>
      <c r="Q7" s="38">
        <v>2082</v>
      </c>
      <c r="R7" s="38">
        <v>6967</v>
      </c>
      <c r="S7" s="38">
        <v>2432</v>
      </c>
      <c r="T7" s="38">
        <v>14838</v>
      </c>
      <c r="U7" s="38">
        <v>542287</v>
      </c>
      <c r="V7" s="38">
        <v>3751</v>
      </c>
      <c r="W7" s="38">
        <v>12739</v>
      </c>
      <c r="X7" s="38">
        <v>403188</v>
      </c>
      <c r="Y7" s="38">
        <v>103863</v>
      </c>
      <c r="Z7" s="38">
        <v>13100</v>
      </c>
      <c r="AA7" s="38">
        <v>13418941</v>
      </c>
      <c r="AB7" s="38">
        <v>14422</v>
      </c>
      <c r="AC7" s="38">
        <v>11833</v>
      </c>
      <c r="AD7" s="38">
        <v>7087</v>
      </c>
      <c r="AE7" s="38">
        <v>72958</v>
      </c>
      <c r="AF7" s="38">
        <v>20574</v>
      </c>
      <c r="AG7" s="38">
        <v>333297</v>
      </c>
      <c r="AH7" s="38">
        <v>716622</v>
      </c>
      <c r="AI7" s="38">
        <v>904970</v>
      </c>
      <c r="AJ7" s="38">
        <v>72052</v>
      </c>
      <c r="AK7" s="38">
        <v>72609</v>
      </c>
      <c r="AL7" s="38">
        <v>3405</v>
      </c>
      <c r="AM7" s="26">
        <v>68082759</v>
      </c>
      <c r="AN7" s="38">
        <v>20977330</v>
      </c>
      <c r="AO7" s="38">
        <v>0</v>
      </c>
      <c r="AP7" s="38">
        <v>1005548</v>
      </c>
      <c r="AQ7" s="38">
        <v>708</v>
      </c>
      <c r="AR7" s="38">
        <v>-196797</v>
      </c>
      <c r="AS7" s="38">
        <v>0</v>
      </c>
      <c r="AT7" s="38">
        <v>1148216</v>
      </c>
      <c r="AU7" s="26">
        <v>22935005</v>
      </c>
      <c r="AV7" s="27">
        <v>91017764</v>
      </c>
      <c r="AW7" s="42">
        <v>74068069</v>
      </c>
      <c r="AX7" s="38">
        <v>16390900</v>
      </c>
      <c r="AY7" s="38">
        <v>558795</v>
      </c>
      <c r="AZ7" s="38">
        <v>16949695</v>
      </c>
      <c r="BA7" s="38">
        <v>0</v>
      </c>
      <c r="BB7" s="38">
        <v>0</v>
      </c>
      <c r="BC7" s="27">
        <v>91017764</v>
      </c>
    </row>
    <row r="8" spans="1:55" ht="13.5" customHeight="1">
      <c r="A8" s="72" t="s">
        <v>45</v>
      </c>
      <c r="B8" s="77" t="s">
        <v>3</v>
      </c>
      <c r="C8" s="38">
        <v>2055</v>
      </c>
      <c r="D8" s="38">
        <v>2999</v>
      </c>
      <c r="E8" s="38">
        <v>48702</v>
      </c>
      <c r="F8" s="38">
        <v>3592</v>
      </c>
      <c r="G8" s="38">
        <v>35023</v>
      </c>
      <c r="H8" s="38">
        <v>108067377</v>
      </c>
      <c r="I8" s="38">
        <v>8679207</v>
      </c>
      <c r="J8" s="38">
        <f t="shared" ref="J8:J46" si="1">I8-L8</f>
        <v>8679195.796177268</v>
      </c>
      <c r="K8" s="104">
        <f>'총투입계수(A)'!I8*cases2!$B$6</f>
        <v>23.044617143461849</v>
      </c>
      <c r="L8" s="104">
        <f t="shared" si="0"/>
        <v>11.203822732145264</v>
      </c>
      <c r="M8" s="38">
        <v>5208178</v>
      </c>
      <c r="N8" s="38">
        <v>33232955</v>
      </c>
      <c r="O8" s="38">
        <v>40482</v>
      </c>
      <c r="P8" s="38">
        <v>37583</v>
      </c>
      <c r="Q8" s="38">
        <v>8789</v>
      </c>
      <c r="R8" s="38">
        <v>16354</v>
      </c>
      <c r="S8" s="38">
        <v>5802</v>
      </c>
      <c r="T8" s="38">
        <v>3785</v>
      </c>
      <c r="U8" s="38">
        <v>76904</v>
      </c>
      <c r="V8" s="38">
        <v>68593275</v>
      </c>
      <c r="W8" s="38">
        <v>53587</v>
      </c>
      <c r="X8" s="38">
        <v>278992</v>
      </c>
      <c r="Y8" s="38">
        <v>0</v>
      </c>
      <c r="Z8" s="38">
        <v>0</v>
      </c>
      <c r="AA8" s="38">
        <v>15310</v>
      </c>
      <c r="AB8" s="38">
        <v>0</v>
      </c>
      <c r="AC8" s="38">
        <v>0</v>
      </c>
      <c r="AD8" s="38">
        <v>141</v>
      </c>
      <c r="AE8" s="38">
        <v>17244</v>
      </c>
      <c r="AF8" s="38">
        <v>13414</v>
      </c>
      <c r="AG8" s="38">
        <v>16766</v>
      </c>
      <c r="AH8" s="38">
        <v>1073</v>
      </c>
      <c r="AI8" s="38">
        <v>16722</v>
      </c>
      <c r="AJ8" s="38">
        <v>2420</v>
      </c>
      <c r="AK8" s="38">
        <v>2421</v>
      </c>
      <c r="AL8" s="38">
        <v>34</v>
      </c>
      <c r="AM8" s="26">
        <v>224481186</v>
      </c>
      <c r="AN8" s="38">
        <v>20312</v>
      </c>
      <c r="AO8" s="38">
        <v>0</v>
      </c>
      <c r="AP8" s="38">
        <v>0</v>
      </c>
      <c r="AQ8" s="38">
        <v>0</v>
      </c>
      <c r="AR8" s="38">
        <v>-1208060</v>
      </c>
      <c r="AS8" s="38">
        <v>0</v>
      </c>
      <c r="AT8" s="38">
        <v>164539</v>
      </c>
      <c r="AU8" s="26">
        <v>-1023209</v>
      </c>
      <c r="AV8" s="27">
        <v>223457977</v>
      </c>
      <c r="AW8" s="42">
        <v>5326597</v>
      </c>
      <c r="AX8" s="38">
        <v>213114501</v>
      </c>
      <c r="AY8" s="38">
        <v>5016879</v>
      </c>
      <c r="AZ8" s="38">
        <v>218131380</v>
      </c>
      <c r="BA8" s="38">
        <v>0</v>
      </c>
      <c r="BB8" s="38">
        <v>0</v>
      </c>
      <c r="BC8" s="27">
        <v>223457977</v>
      </c>
    </row>
    <row r="9" spans="1:55" ht="13.5" customHeight="1">
      <c r="A9" s="72" t="s">
        <v>46</v>
      </c>
      <c r="B9" s="77" t="s">
        <v>4</v>
      </c>
      <c r="C9" s="38">
        <v>13490896</v>
      </c>
      <c r="D9" s="38">
        <v>16188</v>
      </c>
      <c r="E9" s="38">
        <v>37267582</v>
      </c>
      <c r="F9" s="38">
        <v>1267831</v>
      </c>
      <c r="G9" s="38">
        <v>87762</v>
      </c>
      <c r="H9" s="38">
        <v>29747</v>
      </c>
      <c r="I9" s="38">
        <v>1948954</v>
      </c>
      <c r="J9" s="38">
        <f t="shared" si="1"/>
        <v>1948951.484132464</v>
      </c>
      <c r="K9" s="104">
        <f>'총투입계수(A)'!I9*cases2!$B$6</f>
        <v>5.1747698563035245</v>
      </c>
      <c r="L9" s="104">
        <f t="shared" si="0"/>
        <v>2.5158675359517804</v>
      </c>
      <c r="M9" s="38">
        <v>32354</v>
      </c>
      <c r="N9" s="38">
        <v>78230</v>
      </c>
      <c r="O9" s="38">
        <v>106035</v>
      </c>
      <c r="P9" s="38">
        <v>28458</v>
      </c>
      <c r="Q9" s="38">
        <v>23722</v>
      </c>
      <c r="R9" s="38">
        <v>80841</v>
      </c>
      <c r="S9" s="38">
        <v>-15144</v>
      </c>
      <c r="T9" s="38">
        <v>10976</v>
      </c>
      <c r="U9" s="38">
        <v>642150</v>
      </c>
      <c r="V9" s="38">
        <v>1667262</v>
      </c>
      <c r="W9" s="38">
        <v>75594</v>
      </c>
      <c r="X9" s="38">
        <v>29879</v>
      </c>
      <c r="Y9" s="38">
        <v>2137267</v>
      </c>
      <c r="Z9" s="38">
        <v>237559</v>
      </c>
      <c r="AA9" s="38">
        <v>62634265</v>
      </c>
      <c r="AB9" s="38">
        <v>321736</v>
      </c>
      <c r="AC9" s="38">
        <v>166231</v>
      </c>
      <c r="AD9" s="38">
        <v>20690</v>
      </c>
      <c r="AE9" s="38">
        <v>1680284</v>
      </c>
      <c r="AF9" s="38">
        <v>730059</v>
      </c>
      <c r="AG9" s="38">
        <v>1178818</v>
      </c>
      <c r="AH9" s="38">
        <v>3190985</v>
      </c>
      <c r="AI9" s="38">
        <v>3326884</v>
      </c>
      <c r="AJ9" s="38">
        <v>2766615</v>
      </c>
      <c r="AK9" s="38">
        <v>1099495</v>
      </c>
      <c r="AL9" s="38">
        <v>54767</v>
      </c>
      <c r="AM9" s="26">
        <v>136414972</v>
      </c>
      <c r="AN9" s="38">
        <v>79996863</v>
      </c>
      <c r="AO9" s="38">
        <v>0</v>
      </c>
      <c r="AP9" s="38">
        <v>0</v>
      </c>
      <c r="AQ9" s="38">
        <v>0</v>
      </c>
      <c r="AR9" s="38">
        <v>-312055</v>
      </c>
      <c r="AS9" s="38">
        <v>0</v>
      </c>
      <c r="AT9" s="38">
        <v>13216832</v>
      </c>
      <c r="AU9" s="26">
        <v>92901640</v>
      </c>
      <c r="AV9" s="27">
        <v>229316612</v>
      </c>
      <c r="AW9" s="42">
        <v>182394945</v>
      </c>
      <c r="AX9" s="38">
        <v>42877588</v>
      </c>
      <c r="AY9" s="38">
        <v>4044079</v>
      </c>
      <c r="AZ9" s="38">
        <v>46921667</v>
      </c>
      <c r="BA9" s="38">
        <v>0</v>
      </c>
      <c r="BB9" s="38">
        <v>0</v>
      </c>
      <c r="BC9" s="27">
        <v>229316612</v>
      </c>
    </row>
    <row r="10" spans="1:55" ht="13.5" customHeight="1">
      <c r="A10" s="72" t="s">
        <v>47</v>
      </c>
      <c r="B10" s="77" t="s">
        <v>5</v>
      </c>
      <c r="C10" s="38">
        <v>690669</v>
      </c>
      <c r="D10" s="38">
        <v>18761</v>
      </c>
      <c r="E10" s="38">
        <v>152583</v>
      </c>
      <c r="F10" s="38">
        <v>21941986</v>
      </c>
      <c r="G10" s="38">
        <v>610886</v>
      </c>
      <c r="H10" s="38">
        <v>100196</v>
      </c>
      <c r="I10" s="38">
        <v>1674120</v>
      </c>
      <c r="J10" s="38">
        <f t="shared" si="1"/>
        <v>1674117.8389104314</v>
      </c>
      <c r="K10" s="104">
        <f>'총투입계수(A)'!I10*cases2!$B$6</f>
        <v>4.4450437064368158</v>
      </c>
      <c r="L10" s="104">
        <f t="shared" si="0"/>
        <v>2.1610895687058775</v>
      </c>
      <c r="M10" s="38">
        <v>167311</v>
      </c>
      <c r="N10" s="38">
        <v>181532</v>
      </c>
      <c r="O10" s="38">
        <v>398657</v>
      </c>
      <c r="P10" s="38">
        <v>396591</v>
      </c>
      <c r="Q10" s="38">
        <v>175855</v>
      </c>
      <c r="R10" s="38">
        <v>148702</v>
      </c>
      <c r="S10" s="38">
        <v>1234584</v>
      </c>
      <c r="T10" s="38">
        <v>1704538</v>
      </c>
      <c r="U10" s="38">
        <v>2681541</v>
      </c>
      <c r="V10" s="38">
        <v>46471</v>
      </c>
      <c r="W10" s="38">
        <v>260471</v>
      </c>
      <c r="X10" s="38">
        <v>183767</v>
      </c>
      <c r="Y10" s="38">
        <v>1793848</v>
      </c>
      <c r="Z10" s="38">
        <v>1945331</v>
      </c>
      <c r="AA10" s="38">
        <v>1580633</v>
      </c>
      <c r="AB10" s="38">
        <v>250655</v>
      </c>
      <c r="AC10" s="38">
        <v>107312</v>
      </c>
      <c r="AD10" s="38">
        <v>175614</v>
      </c>
      <c r="AE10" s="38">
        <v>554339</v>
      </c>
      <c r="AF10" s="38">
        <v>1178436</v>
      </c>
      <c r="AG10" s="38">
        <v>689348</v>
      </c>
      <c r="AH10" s="38">
        <v>212655</v>
      </c>
      <c r="AI10" s="38">
        <v>919104</v>
      </c>
      <c r="AJ10" s="38">
        <v>556457</v>
      </c>
      <c r="AK10" s="38">
        <v>863694</v>
      </c>
      <c r="AL10" s="38">
        <v>17447</v>
      </c>
      <c r="AM10" s="26">
        <v>43614094</v>
      </c>
      <c r="AN10" s="38">
        <v>44692848</v>
      </c>
      <c r="AO10" s="38">
        <v>0</v>
      </c>
      <c r="AP10" s="38">
        <v>99316</v>
      </c>
      <c r="AQ10" s="38">
        <v>49995</v>
      </c>
      <c r="AR10" s="38">
        <v>238347</v>
      </c>
      <c r="AS10" s="38">
        <v>0</v>
      </c>
      <c r="AT10" s="38">
        <v>20177963</v>
      </c>
      <c r="AU10" s="26">
        <v>65258469</v>
      </c>
      <c r="AV10" s="27">
        <v>108872563</v>
      </c>
      <c r="AW10" s="42">
        <v>70160146</v>
      </c>
      <c r="AX10" s="38">
        <v>35870234</v>
      </c>
      <c r="AY10" s="38">
        <v>2842183</v>
      </c>
      <c r="AZ10" s="38">
        <v>38712417</v>
      </c>
      <c r="BA10" s="38">
        <v>0</v>
      </c>
      <c r="BB10" s="38">
        <v>0</v>
      </c>
      <c r="BC10" s="27">
        <v>108872563</v>
      </c>
    </row>
    <row r="11" spans="1:55" ht="13.5" customHeight="1">
      <c r="A11" s="72" t="s">
        <v>48</v>
      </c>
      <c r="B11" s="77" t="s">
        <v>6</v>
      </c>
      <c r="C11" s="38">
        <v>866017</v>
      </c>
      <c r="D11" s="38">
        <v>11121</v>
      </c>
      <c r="E11" s="38">
        <v>3715108</v>
      </c>
      <c r="F11" s="38">
        <v>415547</v>
      </c>
      <c r="G11" s="38">
        <v>17244503</v>
      </c>
      <c r="H11" s="38">
        <v>134210</v>
      </c>
      <c r="I11" s="38">
        <v>1997375</v>
      </c>
      <c r="J11" s="38">
        <f t="shared" si="1"/>
        <v>1997372.4216267189</v>
      </c>
      <c r="K11" s="104">
        <f>'총투입계수(A)'!I11*cases2!$B$6</f>
        <v>5.3033349898121012</v>
      </c>
      <c r="L11" s="104">
        <f t="shared" si="0"/>
        <v>2.5783732810634259</v>
      </c>
      <c r="M11" s="38">
        <v>426375</v>
      </c>
      <c r="N11" s="38">
        <v>243459</v>
      </c>
      <c r="O11" s="38">
        <v>1061021</v>
      </c>
      <c r="P11" s="38">
        <v>295987</v>
      </c>
      <c r="Q11" s="38">
        <v>571350</v>
      </c>
      <c r="R11" s="38">
        <v>353312</v>
      </c>
      <c r="S11" s="38">
        <v>120280</v>
      </c>
      <c r="T11" s="38">
        <v>1901882</v>
      </c>
      <c r="U11" s="38">
        <v>408384</v>
      </c>
      <c r="V11" s="38">
        <v>792752</v>
      </c>
      <c r="W11" s="38">
        <v>-6870</v>
      </c>
      <c r="X11" s="38">
        <v>6049727</v>
      </c>
      <c r="Y11" s="38">
        <v>4278205</v>
      </c>
      <c r="Z11" s="38">
        <v>1476571</v>
      </c>
      <c r="AA11" s="38">
        <v>2137353</v>
      </c>
      <c r="AB11" s="38">
        <v>2006707</v>
      </c>
      <c r="AC11" s="38">
        <v>1592341</v>
      </c>
      <c r="AD11" s="38">
        <v>227894</v>
      </c>
      <c r="AE11" s="38">
        <v>5069685</v>
      </c>
      <c r="AF11" s="38">
        <v>631911</v>
      </c>
      <c r="AG11" s="38">
        <v>913133</v>
      </c>
      <c r="AH11" s="38">
        <v>960333</v>
      </c>
      <c r="AI11" s="38">
        <v>1291250</v>
      </c>
      <c r="AJ11" s="38">
        <v>308585</v>
      </c>
      <c r="AK11" s="38">
        <v>831503</v>
      </c>
      <c r="AL11" s="38">
        <v>9881</v>
      </c>
      <c r="AM11" s="26">
        <v>58336892</v>
      </c>
      <c r="AN11" s="38">
        <v>1990283</v>
      </c>
      <c r="AO11" s="38">
        <v>0</v>
      </c>
      <c r="AP11" s="38">
        <v>0</v>
      </c>
      <c r="AQ11" s="38">
        <v>0</v>
      </c>
      <c r="AR11" s="38">
        <v>247498</v>
      </c>
      <c r="AS11" s="38">
        <v>0</v>
      </c>
      <c r="AT11" s="38">
        <v>4630328</v>
      </c>
      <c r="AU11" s="26">
        <v>6868109</v>
      </c>
      <c r="AV11" s="27">
        <v>65205001</v>
      </c>
      <c r="AW11" s="42">
        <v>56014686</v>
      </c>
      <c r="AX11" s="38">
        <v>8967588</v>
      </c>
      <c r="AY11" s="38">
        <v>222727</v>
      </c>
      <c r="AZ11" s="38">
        <v>9190315</v>
      </c>
      <c r="BA11" s="38">
        <v>0</v>
      </c>
      <c r="BB11" s="38">
        <v>0</v>
      </c>
      <c r="BC11" s="27">
        <v>65205001</v>
      </c>
    </row>
    <row r="12" spans="1:55" ht="13.5" customHeight="1">
      <c r="A12" s="72" t="s">
        <v>49</v>
      </c>
      <c r="B12" s="77" t="s">
        <v>7</v>
      </c>
      <c r="C12" s="38">
        <v>1553720</v>
      </c>
      <c r="D12" s="38">
        <v>127562</v>
      </c>
      <c r="E12" s="38">
        <v>368746</v>
      </c>
      <c r="F12" s="38">
        <v>182073</v>
      </c>
      <c r="G12" s="38">
        <v>306192</v>
      </c>
      <c r="H12" s="38">
        <v>8485744</v>
      </c>
      <c r="I12" s="38">
        <v>43895247</v>
      </c>
      <c r="J12" s="38">
        <f t="shared" si="1"/>
        <v>43895190.336463094</v>
      </c>
      <c r="K12" s="104">
        <f>'총투입계수(A)'!I12*cases2!$B$6</f>
        <v>116.5485696484359</v>
      </c>
      <c r="L12" s="104">
        <f t="shared" si="0"/>
        <v>56.663536907430746</v>
      </c>
      <c r="M12" s="38">
        <v>2409467</v>
      </c>
      <c r="N12" s="38">
        <v>721361</v>
      </c>
      <c r="O12" s="38">
        <v>527953</v>
      </c>
      <c r="P12" s="38">
        <v>108255</v>
      </c>
      <c r="Q12" s="38">
        <v>512348</v>
      </c>
      <c r="R12" s="38">
        <v>337756</v>
      </c>
      <c r="S12" s="38">
        <v>472866</v>
      </c>
      <c r="T12" s="38">
        <v>45874</v>
      </c>
      <c r="U12" s="38">
        <v>1013019</v>
      </c>
      <c r="V12" s="38">
        <v>4111860</v>
      </c>
      <c r="W12" s="38">
        <v>690962</v>
      </c>
      <c r="X12" s="38">
        <v>4687554</v>
      </c>
      <c r="Y12" s="38">
        <v>9503880</v>
      </c>
      <c r="Z12" s="38">
        <v>24628899</v>
      </c>
      <c r="AA12" s="38">
        <v>3477744</v>
      </c>
      <c r="AB12" s="38">
        <v>404311</v>
      </c>
      <c r="AC12" s="38">
        <v>146259</v>
      </c>
      <c r="AD12" s="38">
        <v>918026</v>
      </c>
      <c r="AE12" s="38">
        <v>4380042</v>
      </c>
      <c r="AF12" s="38">
        <v>918546</v>
      </c>
      <c r="AG12" s="38">
        <v>3355174</v>
      </c>
      <c r="AH12" s="38">
        <v>2599025</v>
      </c>
      <c r="AI12" s="38">
        <v>1564184</v>
      </c>
      <c r="AJ12" s="38">
        <v>353775</v>
      </c>
      <c r="AK12" s="38">
        <v>1093548</v>
      </c>
      <c r="AL12" s="38">
        <v>22523</v>
      </c>
      <c r="AM12" s="26">
        <v>123924495</v>
      </c>
      <c r="AN12" s="38">
        <v>20010215</v>
      </c>
      <c r="AO12" s="38">
        <v>0</v>
      </c>
      <c r="AP12" s="38">
        <v>0</v>
      </c>
      <c r="AQ12" s="38">
        <v>0</v>
      </c>
      <c r="AR12" s="38">
        <v>685143</v>
      </c>
      <c r="AS12" s="38">
        <v>0</v>
      </c>
      <c r="AT12" s="38">
        <v>77066088</v>
      </c>
      <c r="AU12" s="26">
        <v>97761446</v>
      </c>
      <c r="AV12" s="27">
        <v>221685941</v>
      </c>
      <c r="AW12" s="42">
        <v>176562966</v>
      </c>
      <c r="AX12" s="38">
        <v>44170694</v>
      </c>
      <c r="AY12" s="38">
        <v>952281</v>
      </c>
      <c r="AZ12" s="38">
        <v>45122975</v>
      </c>
      <c r="BA12" s="38">
        <v>0</v>
      </c>
      <c r="BB12" s="38">
        <v>0</v>
      </c>
      <c r="BC12" s="27">
        <v>221685941</v>
      </c>
    </row>
    <row r="13" spans="1:55" ht="13.5" customHeight="1">
      <c r="A13" s="72" t="s">
        <v>50</v>
      </c>
      <c r="B13" s="77" t="s">
        <v>8</v>
      </c>
      <c r="C13" s="38">
        <v>5335756</v>
      </c>
      <c r="D13" s="38">
        <v>219298</v>
      </c>
      <c r="E13" s="38">
        <v>4720446</v>
      </c>
      <c r="F13" s="38">
        <v>6819729</v>
      </c>
      <c r="G13" s="38">
        <v>3803170</v>
      </c>
      <c r="H13" s="38">
        <v>3537795</v>
      </c>
      <c r="I13" s="38">
        <v>129362837</v>
      </c>
      <c r="J13" s="38">
        <f t="shared" si="1"/>
        <v>129362670.00798173</v>
      </c>
      <c r="K13" s="104">
        <f>'총투입계수(A)'!I13*cases2!$B$6</f>
        <v>343.47804485560266</v>
      </c>
      <c r="L13" s="104">
        <f t="shared" si="0"/>
        <v>166.99201826565519</v>
      </c>
      <c r="M13" s="38">
        <v>2543485</v>
      </c>
      <c r="N13" s="38">
        <v>3102895</v>
      </c>
      <c r="O13" s="38">
        <v>9009090</v>
      </c>
      <c r="P13" s="38">
        <v>20188581</v>
      </c>
      <c r="Q13" s="38">
        <v>17404850</v>
      </c>
      <c r="R13" s="38">
        <v>5570490</v>
      </c>
      <c r="S13" s="38">
        <v>21793941</v>
      </c>
      <c r="T13" s="38">
        <v>2998181</v>
      </c>
      <c r="U13" s="38">
        <v>1983061</v>
      </c>
      <c r="V13" s="38">
        <v>2417171</v>
      </c>
      <c r="W13" s="38">
        <v>2164833</v>
      </c>
      <c r="X13" s="38">
        <v>12222208</v>
      </c>
      <c r="Y13" s="38">
        <v>5288979</v>
      </c>
      <c r="Z13" s="38">
        <v>1560674</v>
      </c>
      <c r="AA13" s="38">
        <v>4858345</v>
      </c>
      <c r="AB13" s="38">
        <v>812354</v>
      </c>
      <c r="AC13" s="38">
        <v>121602</v>
      </c>
      <c r="AD13" s="38">
        <v>277568</v>
      </c>
      <c r="AE13" s="38">
        <v>10278206</v>
      </c>
      <c r="AF13" s="38">
        <v>3992188</v>
      </c>
      <c r="AG13" s="38">
        <v>1614775</v>
      </c>
      <c r="AH13" s="38">
        <v>1270286</v>
      </c>
      <c r="AI13" s="38">
        <v>32946431</v>
      </c>
      <c r="AJ13" s="38">
        <v>758170</v>
      </c>
      <c r="AK13" s="38">
        <v>3728706</v>
      </c>
      <c r="AL13" s="38">
        <v>31956</v>
      </c>
      <c r="AM13" s="26">
        <v>322738057</v>
      </c>
      <c r="AN13" s="38">
        <v>16391860</v>
      </c>
      <c r="AO13" s="38">
        <v>0</v>
      </c>
      <c r="AP13" s="38">
        <v>0</v>
      </c>
      <c r="AQ13" s="38">
        <v>0</v>
      </c>
      <c r="AR13" s="38">
        <v>2035871</v>
      </c>
      <c r="AS13" s="38">
        <v>0</v>
      </c>
      <c r="AT13" s="38">
        <v>141937188</v>
      </c>
      <c r="AU13" s="26">
        <v>160364919</v>
      </c>
      <c r="AV13" s="27">
        <v>483102976</v>
      </c>
      <c r="AW13" s="42">
        <v>376626218</v>
      </c>
      <c r="AX13" s="38">
        <v>104125789</v>
      </c>
      <c r="AY13" s="38">
        <v>2350969</v>
      </c>
      <c r="AZ13" s="38">
        <v>106476758</v>
      </c>
      <c r="BA13" s="38">
        <v>0</v>
      </c>
      <c r="BB13" s="38">
        <v>0</v>
      </c>
      <c r="BC13" s="27">
        <v>483102976</v>
      </c>
    </row>
    <row r="14" spans="1:55" ht="13.5" customHeight="1">
      <c r="A14" s="72" t="s">
        <v>51</v>
      </c>
      <c r="B14" s="77" t="s">
        <v>9</v>
      </c>
      <c r="C14" s="38">
        <v>36617</v>
      </c>
      <c r="D14" s="38">
        <v>8918</v>
      </c>
      <c r="E14" s="38">
        <v>905256</v>
      </c>
      <c r="F14" s="38">
        <v>41584</v>
      </c>
      <c r="G14" s="38">
        <v>59557</v>
      </c>
      <c r="H14" s="38">
        <v>153911</v>
      </c>
      <c r="I14" s="38">
        <v>1621305</v>
      </c>
      <c r="J14" s="38">
        <f t="shared" si="1"/>
        <v>1621302.9070883072</v>
      </c>
      <c r="K14" s="104">
        <f>'총투입계수(A)'!I14*cases2!$B$6</f>
        <v>4.3048118333599383</v>
      </c>
      <c r="L14" s="104">
        <f t="shared" si="0"/>
        <v>2.0929116928240998</v>
      </c>
      <c r="M14" s="38">
        <v>7622593</v>
      </c>
      <c r="N14" s="38">
        <v>3265699</v>
      </c>
      <c r="O14" s="38">
        <v>612991</v>
      </c>
      <c r="P14" s="38">
        <v>1987167</v>
      </c>
      <c r="Q14" s="38">
        <v>1806637</v>
      </c>
      <c r="R14" s="38">
        <v>511290</v>
      </c>
      <c r="S14" s="38">
        <v>2300485</v>
      </c>
      <c r="T14" s="38">
        <v>257029</v>
      </c>
      <c r="U14" s="38">
        <v>203556</v>
      </c>
      <c r="V14" s="38">
        <v>-152005</v>
      </c>
      <c r="W14" s="38">
        <v>187593</v>
      </c>
      <c r="X14" s="38">
        <v>29763706</v>
      </c>
      <c r="Y14" s="38">
        <v>119481</v>
      </c>
      <c r="Z14" s="38">
        <v>76745</v>
      </c>
      <c r="AA14" s="38">
        <v>742147</v>
      </c>
      <c r="AB14" s="38">
        <v>13661</v>
      </c>
      <c r="AC14" s="38">
        <v>3896</v>
      </c>
      <c r="AD14" s="38">
        <v>84202</v>
      </c>
      <c r="AE14" s="38">
        <v>340999</v>
      </c>
      <c r="AF14" s="38">
        <v>226159</v>
      </c>
      <c r="AG14" s="38">
        <v>331107</v>
      </c>
      <c r="AH14" s="38">
        <v>142765</v>
      </c>
      <c r="AI14" s="38">
        <v>71373</v>
      </c>
      <c r="AJ14" s="38">
        <v>141732</v>
      </c>
      <c r="AK14" s="38">
        <v>56146</v>
      </c>
      <c r="AL14" s="38">
        <v>4568</v>
      </c>
      <c r="AM14" s="26">
        <v>53548870</v>
      </c>
      <c r="AN14" s="38">
        <v>181273</v>
      </c>
      <c r="AO14" s="38">
        <v>0</v>
      </c>
      <c r="AP14" s="38">
        <v>0</v>
      </c>
      <c r="AQ14" s="38">
        <v>0</v>
      </c>
      <c r="AR14" s="38">
        <v>187387</v>
      </c>
      <c r="AS14" s="38">
        <v>0</v>
      </c>
      <c r="AT14" s="38">
        <v>4781328</v>
      </c>
      <c r="AU14" s="26">
        <v>5149988</v>
      </c>
      <c r="AV14" s="27">
        <v>58698858</v>
      </c>
      <c r="AW14" s="42">
        <v>50827524</v>
      </c>
      <c r="AX14" s="38">
        <v>7600425</v>
      </c>
      <c r="AY14" s="38">
        <v>270909</v>
      </c>
      <c r="AZ14" s="38">
        <v>7871334</v>
      </c>
      <c r="BA14" s="38">
        <v>0</v>
      </c>
      <c r="BB14" s="38">
        <v>0</v>
      </c>
      <c r="BC14" s="27">
        <v>58698858</v>
      </c>
    </row>
    <row r="15" spans="1:55" ht="13.5" customHeight="1">
      <c r="A15" s="72" t="s">
        <v>52</v>
      </c>
      <c r="B15" s="77" t="s">
        <v>10</v>
      </c>
      <c r="C15" s="38">
        <v>91111</v>
      </c>
      <c r="D15" s="38">
        <v>8196</v>
      </c>
      <c r="E15" s="38">
        <v>26239</v>
      </c>
      <c r="F15" s="38">
        <v>2697</v>
      </c>
      <c r="G15" s="38">
        <v>45720</v>
      </c>
      <c r="H15" s="38">
        <v>562107</v>
      </c>
      <c r="I15" s="38">
        <v>3388712</v>
      </c>
      <c r="J15" s="38">
        <f t="shared" si="1"/>
        <v>3388707.6255763299</v>
      </c>
      <c r="K15" s="104">
        <f>'총투입계수(A)'!I15*cases2!$B$6</f>
        <v>8.997546740094446</v>
      </c>
      <c r="L15" s="104">
        <f t="shared" si="0"/>
        <v>4.3744236700764771</v>
      </c>
      <c r="M15" s="38">
        <v>903550</v>
      </c>
      <c r="N15" s="38">
        <v>62564642</v>
      </c>
      <c r="O15" s="38">
        <v>26175296</v>
      </c>
      <c r="P15" s="38">
        <v>6708120</v>
      </c>
      <c r="Q15" s="38">
        <v>18310513</v>
      </c>
      <c r="R15" s="38">
        <v>13493061</v>
      </c>
      <c r="S15" s="38">
        <v>26369922</v>
      </c>
      <c r="T15" s="38">
        <v>1765850</v>
      </c>
      <c r="U15" s="38">
        <v>1069388</v>
      </c>
      <c r="V15" s="38">
        <v>413958</v>
      </c>
      <c r="W15" s="38">
        <v>170727</v>
      </c>
      <c r="X15" s="38">
        <v>25701309</v>
      </c>
      <c r="Y15" s="38">
        <v>-713</v>
      </c>
      <c r="Z15" s="38">
        <v>132195</v>
      </c>
      <c r="AA15" s="38">
        <v>27276</v>
      </c>
      <c r="AB15" s="38">
        <v>-21236</v>
      </c>
      <c r="AC15" s="38">
        <v>-69</v>
      </c>
      <c r="AD15" s="38">
        <v>-534</v>
      </c>
      <c r="AE15" s="38">
        <v>435186</v>
      </c>
      <c r="AF15" s="38">
        <v>1189</v>
      </c>
      <c r="AG15" s="38">
        <v>3109</v>
      </c>
      <c r="AH15" s="38">
        <v>-19677</v>
      </c>
      <c r="AI15" s="38">
        <v>366089</v>
      </c>
      <c r="AJ15" s="38">
        <v>-4842</v>
      </c>
      <c r="AK15" s="38">
        <v>-29801</v>
      </c>
      <c r="AL15" s="38">
        <v>9136</v>
      </c>
      <c r="AM15" s="26">
        <v>188668426</v>
      </c>
      <c r="AN15" s="38">
        <v>-731720</v>
      </c>
      <c r="AO15" s="38">
        <v>0</v>
      </c>
      <c r="AP15" s="38">
        <v>-3134918</v>
      </c>
      <c r="AQ15" s="38">
        <v>-83309</v>
      </c>
      <c r="AR15" s="38">
        <v>118320</v>
      </c>
      <c r="AS15" s="38">
        <v>163833</v>
      </c>
      <c r="AT15" s="38">
        <v>59288136</v>
      </c>
      <c r="AU15" s="26">
        <v>55620342</v>
      </c>
      <c r="AV15" s="27">
        <v>244288768</v>
      </c>
      <c r="AW15" s="42">
        <v>191899112</v>
      </c>
      <c r="AX15" s="38">
        <v>52115731</v>
      </c>
      <c r="AY15" s="38">
        <v>273925</v>
      </c>
      <c r="AZ15" s="38">
        <v>52389656</v>
      </c>
      <c r="BA15" s="38">
        <v>0</v>
      </c>
      <c r="BB15" s="38">
        <v>0</v>
      </c>
      <c r="BC15" s="27">
        <v>244288768</v>
      </c>
    </row>
    <row r="16" spans="1:55" ht="13.5" customHeight="1">
      <c r="A16" s="72" t="s">
        <v>53</v>
      </c>
      <c r="B16" s="77" t="s">
        <v>54</v>
      </c>
      <c r="C16" s="38">
        <v>77940</v>
      </c>
      <c r="D16" s="38">
        <v>117861</v>
      </c>
      <c r="E16" s="38">
        <v>2371080</v>
      </c>
      <c r="F16" s="38">
        <v>248175</v>
      </c>
      <c r="G16" s="38">
        <v>609407</v>
      </c>
      <c r="H16" s="38">
        <v>2900135</v>
      </c>
      <c r="I16" s="38">
        <v>2673621</v>
      </c>
      <c r="J16" s="38">
        <f t="shared" si="1"/>
        <v>2673617.5486736591</v>
      </c>
      <c r="K16" s="104">
        <f>'총투입계수(A)'!I16*cases2!$B$6</f>
        <v>7.0988711678059557</v>
      </c>
      <c r="L16" s="104">
        <f t="shared" si="0"/>
        <v>3.4513263408674275</v>
      </c>
      <c r="M16" s="38">
        <v>667203</v>
      </c>
      <c r="N16" s="38">
        <v>1573739</v>
      </c>
      <c r="O16" s="38">
        <v>20929812</v>
      </c>
      <c r="P16" s="38">
        <v>2705363</v>
      </c>
      <c r="Q16" s="38">
        <v>5224767</v>
      </c>
      <c r="R16" s="38">
        <v>19768968</v>
      </c>
      <c r="S16" s="38">
        <v>18833190</v>
      </c>
      <c r="T16" s="38">
        <v>1490999</v>
      </c>
      <c r="U16" s="38">
        <v>1288202</v>
      </c>
      <c r="V16" s="38">
        <v>869133</v>
      </c>
      <c r="W16" s="38">
        <v>548021</v>
      </c>
      <c r="X16" s="38">
        <v>25476298</v>
      </c>
      <c r="Y16" s="38">
        <v>1147254</v>
      </c>
      <c r="Z16" s="38">
        <v>1077767</v>
      </c>
      <c r="AA16" s="38">
        <v>1741987</v>
      </c>
      <c r="AB16" s="38">
        <v>251710</v>
      </c>
      <c r="AC16" s="38">
        <v>141513</v>
      </c>
      <c r="AD16" s="38">
        <v>200822</v>
      </c>
      <c r="AE16" s="38">
        <v>1247365</v>
      </c>
      <c r="AF16" s="38">
        <v>1101443</v>
      </c>
      <c r="AG16" s="38">
        <v>1742143</v>
      </c>
      <c r="AH16" s="38">
        <v>474147</v>
      </c>
      <c r="AI16" s="38">
        <v>355816</v>
      </c>
      <c r="AJ16" s="38">
        <v>255624</v>
      </c>
      <c r="AK16" s="38">
        <v>953188</v>
      </c>
      <c r="AL16" s="38">
        <v>15794</v>
      </c>
      <c r="AM16" s="26">
        <v>119080487</v>
      </c>
      <c r="AN16" s="38">
        <v>1887217</v>
      </c>
      <c r="AO16" s="38">
        <v>0</v>
      </c>
      <c r="AP16" s="38">
        <v>6527800</v>
      </c>
      <c r="AQ16" s="38">
        <v>2370938</v>
      </c>
      <c r="AR16" s="38">
        <v>174696</v>
      </c>
      <c r="AS16" s="38">
        <v>0</v>
      </c>
      <c r="AT16" s="38">
        <v>17376557</v>
      </c>
      <c r="AU16" s="26">
        <v>28337208</v>
      </c>
      <c r="AV16" s="27">
        <v>147417695</v>
      </c>
      <c r="AW16" s="42">
        <v>136298810</v>
      </c>
      <c r="AX16" s="38">
        <v>10772512</v>
      </c>
      <c r="AY16" s="38">
        <v>346373</v>
      </c>
      <c r="AZ16" s="38">
        <v>11118885</v>
      </c>
      <c r="BA16" s="38">
        <v>0</v>
      </c>
      <c r="BB16" s="38">
        <v>0</v>
      </c>
      <c r="BC16" s="27">
        <v>147417695</v>
      </c>
    </row>
    <row r="17" spans="1:55" ht="13.5" customHeight="1">
      <c r="A17" s="72" t="s">
        <v>55</v>
      </c>
      <c r="B17" s="77" t="s">
        <v>56</v>
      </c>
      <c r="C17" s="38">
        <v>181673</v>
      </c>
      <c r="D17" s="38">
        <v>13321</v>
      </c>
      <c r="E17" s="38">
        <v>179518</v>
      </c>
      <c r="F17" s="38">
        <v>41611</v>
      </c>
      <c r="G17" s="38">
        <v>229681</v>
      </c>
      <c r="H17" s="38">
        <v>822010</v>
      </c>
      <c r="I17" s="38">
        <v>730149</v>
      </c>
      <c r="J17" s="38">
        <f t="shared" si="1"/>
        <v>730148.05746458587</v>
      </c>
      <c r="K17" s="104">
        <f>'총투입계수(A)'!I17*cases2!$B$6</f>
        <v>1.93865685686279</v>
      </c>
      <c r="L17" s="104">
        <f t="shared" si="0"/>
        <v>0.94253541412863318</v>
      </c>
      <c r="M17" s="38">
        <v>94215</v>
      </c>
      <c r="N17" s="38">
        <v>473834</v>
      </c>
      <c r="O17" s="38">
        <v>1129751</v>
      </c>
      <c r="P17" s="38">
        <v>111091806</v>
      </c>
      <c r="Q17" s="38">
        <v>14357957</v>
      </c>
      <c r="R17" s="38">
        <v>8884238</v>
      </c>
      <c r="S17" s="38">
        <v>11446256</v>
      </c>
      <c r="T17" s="38">
        <v>150345</v>
      </c>
      <c r="U17" s="38">
        <v>2381775</v>
      </c>
      <c r="V17" s="38">
        <v>1173725</v>
      </c>
      <c r="W17" s="38">
        <v>449580</v>
      </c>
      <c r="X17" s="38">
        <v>1185699</v>
      </c>
      <c r="Y17" s="38">
        <v>3095517</v>
      </c>
      <c r="Z17" s="38">
        <v>872734</v>
      </c>
      <c r="AA17" s="38">
        <v>1525087</v>
      </c>
      <c r="AB17" s="38">
        <v>10007238</v>
      </c>
      <c r="AC17" s="38">
        <v>604376</v>
      </c>
      <c r="AD17" s="38">
        <v>631498</v>
      </c>
      <c r="AE17" s="38">
        <v>13688295</v>
      </c>
      <c r="AF17" s="38">
        <v>1617811</v>
      </c>
      <c r="AG17" s="38">
        <v>1101557</v>
      </c>
      <c r="AH17" s="38">
        <v>1963339</v>
      </c>
      <c r="AI17" s="38">
        <v>4361931</v>
      </c>
      <c r="AJ17" s="38">
        <v>523425</v>
      </c>
      <c r="AK17" s="38">
        <v>2615814</v>
      </c>
      <c r="AL17" s="38">
        <v>51754</v>
      </c>
      <c r="AM17" s="26">
        <v>197677520</v>
      </c>
      <c r="AN17" s="38">
        <v>25091325</v>
      </c>
      <c r="AO17" s="38">
        <v>0</v>
      </c>
      <c r="AP17" s="38">
        <v>30155221</v>
      </c>
      <c r="AQ17" s="38">
        <v>4162495</v>
      </c>
      <c r="AR17" s="38">
        <v>486519</v>
      </c>
      <c r="AS17" s="38">
        <v>0</v>
      </c>
      <c r="AT17" s="38">
        <v>191050500</v>
      </c>
      <c r="AU17" s="26">
        <v>250946060</v>
      </c>
      <c r="AV17" s="27">
        <v>448623580</v>
      </c>
      <c r="AW17" s="42">
        <v>319811734</v>
      </c>
      <c r="AX17" s="38">
        <v>126034694</v>
      </c>
      <c r="AY17" s="38">
        <v>2777152</v>
      </c>
      <c r="AZ17" s="38">
        <v>128811846</v>
      </c>
      <c r="BA17" s="38">
        <v>0</v>
      </c>
      <c r="BB17" s="38">
        <v>0</v>
      </c>
      <c r="BC17" s="27">
        <v>448623580</v>
      </c>
    </row>
    <row r="18" spans="1:55" ht="13.5" customHeight="1">
      <c r="A18" s="72" t="s">
        <v>57</v>
      </c>
      <c r="B18" s="77" t="s">
        <v>58</v>
      </c>
      <c r="C18" s="38">
        <v>127130</v>
      </c>
      <c r="D18" s="38">
        <v>94350</v>
      </c>
      <c r="E18" s="38">
        <v>134004</v>
      </c>
      <c r="F18" s="38">
        <v>66778</v>
      </c>
      <c r="G18" s="38">
        <v>206216</v>
      </c>
      <c r="H18" s="38">
        <v>469945</v>
      </c>
      <c r="I18" s="38">
        <v>534499</v>
      </c>
      <c r="J18" s="38">
        <f t="shared" si="1"/>
        <v>534498.3100254382</v>
      </c>
      <c r="K18" s="104">
        <f>'총투입계수(A)'!I18*cases2!$B$6</f>
        <v>1.419176293244673</v>
      </c>
      <c r="L18" s="104">
        <f t="shared" si="0"/>
        <v>0.68997456178990935</v>
      </c>
      <c r="M18" s="38">
        <v>332306</v>
      </c>
      <c r="N18" s="38">
        <v>548446</v>
      </c>
      <c r="O18" s="38">
        <v>1395586</v>
      </c>
      <c r="P18" s="38">
        <v>8141816</v>
      </c>
      <c r="Q18" s="38">
        <v>43904389</v>
      </c>
      <c r="R18" s="38">
        <v>8454471</v>
      </c>
      <c r="S18" s="38">
        <v>25867522</v>
      </c>
      <c r="T18" s="38">
        <v>311865</v>
      </c>
      <c r="U18" s="38">
        <v>2037205</v>
      </c>
      <c r="V18" s="38">
        <v>2146060</v>
      </c>
      <c r="W18" s="38">
        <v>972943</v>
      </c>
      <c r="X18" s="38">
        <v>15485158</v>
      </c>
      <c r="Y18" s="38">
        <v>1888909</v>
      </c>
      <c r="Z18" s="38">
        <v>3253534</v>
      </c>
      <c r="AA18" s="38">
        <v>2548408</v>
      </c>
      <c r="AB18" s="38">
        <v>3173256</v>
      </c>
      <c r="AC18" s="38">
        <v>368769</v>
      </c>
      <c r="AD18" s="38">
        <v>850238</v>
      </c>
      <c r="AE18" s="38">
        <v>8335414</v>
      </c>
      <c r="AF18" s="38">
        <v>2483438</v>
      </c>
      <c r="AG18" s="38">
        <v>982153</v>
      </c>
      <c r="AH18" s="38">
        <v>785992</v>
      </c>
      <c r="AI18" s="38">
        <v>597813</v>
      </c>
      <c r="AJ18" s="38">
        <v>457683</v>
      </c>
      <c r="AK18" s="38">
        <v>3195593</v>
      </c>
      <c r="AL18" s="38">
        <v>11785</v>
      </c>
      <c r="AM18" s="26">
        <v>140163674</v>
      </c>
      <c r="AN18" s="38">
        <v>11254160</v>
      </c>
      <c r="AO18" s="38">
        <v>0</v>
      </c>
      <c r="AP18" s="38">
        <v>15865555</v>
      </c>
      <c r="AQ18" s="38">
        <v>302355</v>
      </c>
      <c r="AR18" s="38">
        <v>-360625</v>
      </c>
      <c r="AS18" s="38">
        <v>0</v>
      </c>
      <c r="AT18" s="38">
        <v>46805116</v>
      </c>
      <c r="AU18" s="26">
        <v>73866561</v>
      </c>
      <c r="AV18" s="27">
        <v>214030235</v>
      </c>
      <c r="AW18" s="42">
        <v>172753507</v>
      </c>
      <c r="AX18" s="38">
        <v>40326770</v>
      </c>
      <c r="AY18" s="38">
        <v>949958</v>
      </c>
      <c r="AZ18" s="38">
        <v>41276728</v>
      </c>
      <c r="BA18" s="38">
        <v>0</v>
      </c>
      <c r="BB18" s="38">
        <v>0</v>
      </c>
      <c r="BC18" s="27">
        <v>214030235</v>
      </c>
    </row>
    <row r="19" spans="1:55" s="161" customFormat="1" ht="13.5" customHeight="1">
      <c r="A19" s="155" t="s">
        <v>59</v>
      </c>
      <c r="B19" s="156" t="s">
        <v>11</v>
      </c>
      <c r="C19" s="127">
        <v>129919</v>
      </c>
      <c r="D19" s="127">
        <v>120796</v>
      </c>
      <c r="E19" s="127">
        <v>347920</v>
      </c>
      <c r="F19" s="127">
        <v>31863</v>
      </c>
      <c r="G19" s="127">
        <v>94508</v>
      </c>
      <c r="H19" s="127">
        <v>1382092</v>
      </c>
      <c r="I19" s="127">
        <v>788628</v>
      </c>
      <c r="J19" s="127">
        <f t="shared" si="1"/>
        <v>788528</v>
      </c>
      <c r="K19" s="157">
        <v>100</v>
      </c>
      <c r="L19" s="157">
        <f>K19</f>
        <v>100</v>
      </c>
      <c r="M19" s="127">
        <v>155078</v>
      </c>
      <c r="N19" s="127">
        <v>734140</v>
      </c>
      <c r="O19" s="127">
        <v>2600060</v>
      </c>
      <c r="P19" s="127">
        <v>1519513</v>
      </c>
      <c r="Q19" s="127">
        <v>1498282</v>
      </c>
      <c r="R19" s="127">
        <v>39011415</v>
      </c>
      <c r="S19" s="127">
        <v>9746821</v>
      </c>
      <c r="T19" s="127">
        <v>56187</v>
      </c>
      <c r="U19" s="127">
        <v>1472837</v>
      </c>
      <c r="V19" s="127">
        <v>1127344</v>
      </c>
      <c r="W19" s="127">
        <v>1179355</v>
      </c>
      <c r="X19" s="127">
        <v>11223089</v>
      </c>
      <c r="Y19" s="127">
        <v>650365</v>
      </c>
      <c r="Z19" s="127">
        <v>989282</v>
      </c>
      <c r="AA19" s="127">
        <v>370234</v>
      </c>
      <c r="AB19" s="127">
        <v>128658</v>
      </c>
      <c r="AC19" s="127">
        <v>50603</v>
      </c>
      <c r="AD19" s="127">
        <v>337724</v>
      </c>
      <c r="AE19" s="127">
        <v>1323848</v>
      </c>
      <c r="AF19" s="127">
        <v>383679</v>
      </c>
      <c r="AG19" s="127">
        <v>539228</v>
      </c>
      <c r="AH19" s="127">
        <v>368941</v>
      </c>
      <c r="AI19" s="127">
        <v>247391</v>
      </c>
      <c r="AJ19" s="127">
        <v>151440</v>
      </c>
      <c r="AK19" s="127">
        <v>135707</v>
      </c>
      <c r="AL19" s="127">
        <v>6506</v>
      </c>
      <c r="AM19" s="158">
        <v>78903453</v>
      </c>
      <c r="AN19" s="127">
        <v>2796216</v>
      </c>
      <c r="AO19" s="127">
        <v>0</v>
      </c>
      <c r="AP19" s="127">
        <v>90764774</v>
      </c>
      <c r="AQ19" s="127">
        <v>1006484</v>
      </c>
      <c r="AR19" s="127">
        <v>229139</v>
      </c>
      <c r="AS19" s="127">
        <v>0</v>
      </c>
      <c r="AT19" s="127">
        <v>70735546</v>
      </c>
      <c r="AU19" s="158">
        <v>165532159</v>
      </c>
      <c r="AV19" s="159">
        <v>244435612</v>
      </c>
      <c r="AW19" s="160">
        <v>185483373</v>
      </c>
      <c r="AX19" s="127">
        <v>57666958</v>
      </c>
      <c r="AY19" s="127">
        <v>1285281</v>
      </c>
      <c r="AZ19" s="127">
        <v>58952239</v>
      </c>
      <c r="BA19" s="127">
        <v>0</v>
      </c>
      <c r="BB19" s="127">
        <v>0</v>
      </c>
      <c r="BC19" s="159">
        <v>244435612</v>
      </c>
    </row>
    <row r="20" spans="1:55" ht="13.5" customHeight="1">
      <c r="A20" s="72" t="s">
        <v>60</v>
      </c>
      <c r="B20" s="77" t="s">
        <v>12</v>
      </c>
      <c r="C20" s="38">
        <v>214292</v>
      </c>
      <c r="D20" s="38">
        <v>171746</v>
      </c>
      <c r="E20" s="38">
        <v>36186</v>
      </c>
      <c r="F20" s="38">
        <v>13210</v>
      </c>
      <c r="G20" s="38">
        <v>88391</v>
      </c>
      <c r="H20" s="38">
        <v>261289</v>
      </c>
      <c r="I20" s="38">
        <v>302513</v>
      </c>
      <c r="J20" s="38">
        <f t="shared" si="1"/>
        <v>302512.60949173971</v>
      </c>
      <c r="K20" s="104">
        <f>'총투입계수(A)'!I20*cases2!$B$6</f>
        <v>0.80321811265937937</v>
      </c>
      <c r="L20" s="104">
        <f>K20/SUM($K$7:$K$18,$K$20:$K$22,$K$24:$K$39)*$K$3</f>
        <v>0.39050826027878593</v>
      </c>
      <c r="M20" s="38">
        <v>199501</v>
      </c>
      <c r="N20" s="38">
        <v>171865</v>
      </c>
      <c r="O20" s="38">
        <v>276460</v>
      </c>
      <c r="P20" s="38">
        <v>16439</v>
      </c>
      <c r="Q20" s="38">
        <v>89307</v>
      </c>
      <c r="R20" s="38">
        <v>701786</v>
      </c>
      <c r="S20" s="38">
        <v>96037051</v>
      </c>
      <c r="T20" s="38">
        <v>18832</v>
      </c>
      <c r="U20" s="38">
        <v>3598588</v>
      </c>
      <c r="V20" s="38">
        <v>153854</v>
      </c>
      <c r="W20" s="38">
        <v>575492</v>
      </c>
      <c r="X20" s="38">
        <v>37247</v>
      </c>
      <c r="Y20" s="38">
        <v>681877</v>
      </c>
      <c r="Z20" s="38">
        <v>10079696</v>
      </c>
      <c r="AA20" s="38">
        <v>179329</v>
      </c>
      <c r="AB20" s="38">
        <v>151437</v>
      </c>
      <c r="AC20" s="38">
        <v>22514</v>
      </c>
      <c r="AD20" s="38">
        <v>43088</v>
      </c>
      <c r="AE20" s="38">
        <v>3650026</v>
      </c>
      <c r="AF20" s="38">
        <v>876040</v>
      </c>
      <c r="AG20" s="38">
        <v>3578727</v>
      </c>
      <c r="AH20" s="38">
        <v>166906</v>
      </c>
      <c r="AI20" s="38">
        <v>225780</v>
      </c>
      <c r="AJ20" s="38">
        <v>108240</v>
      </c>
      <c r="AK20" s="38">
        <v>7993657</v>
      </c>
      <c r="AL20" s="38">
        <v>7888</v>
      </c>
      <c r="AM20" s="26">
        <v>130729254</v>
      </c>
      <c r="AN20" s="38">
        <v>40901705</v>
      </c>
      <c r="AO20" s="38">
        <v>0</v>
      </c>
      <c r="AP20" s="38">
        <v>42292727</v>
      </c>
      <c r="AQ20" s="38">
        <v>13019884</v>
      </c>
      <c r="AR20" s="38">
        <v>3133154</v>
      </c>
      <c r="AS20" s="38">
        <v>0</v>
      </c>
      <c r="AT20" s="38">
        <v>157357500</v>
      </c>
      <c r="AU20" s="26">
        <v>256704970</v>
      </c>
      <c r="AV20" s="27">
        <v>387434224</v>
      </c>
      <c r="AW20" s="42">
        <v>337135671</v>
      </c>
      <c r="AX20" s="38">
        <v>47691411</v>
      </c>
      <c r="AY20" s="38">
        <v>2607142</v>
      </c>
      <c r="AZ20" s="38">
        <v>50298553</v>
      </c>
      <c r="BA20" s="38">
        <v>0</v>
      </c>
      <c r="BB20" s="38">
        <v>0</v>
      </c>
      <c r="BC20" s="27">
        <v>387434224</v>
      </c>
    </row>
    <row r="21" spans="1:55" ht="13.5" customHeight="1">
      <c r="A21" s="72" t="s">
        <v>61</v>
      </c>
      <c r="B21" s="77" t="s">
        <v>135</v>
      </c>
      <c r="C21" s="38">
        <v>13043</v>
      </c>
      <c r="D21" s="38">
        <v>4348</v>
      </c>
      <c r="E21" s="38">
        <v>265784</v>
      </c>
      <c r="F21" s="38">
        <v>400619</v>
      </c>
      <c r="G21" s="38">
        <v>49555</v>
      </c>
      <c r="H21" s="38">
        <v>19543</v>
      </c>
      <c r="I21" s="38">
        <v>63826</v>
      </c>
      <c r="J21" s="38">
        <f t="shared" si="1"/>
        <v>63825.917608234289</v>
      </c>
      <c r="K21" s="104">
        <f>'총투입계수(A)'!I21*cases2!$B$6</f>
        <v>0.1694677559595705</v>
      </c>
      <c r="L21" s="104">
        <f>K21/SUM($K$7:$K$18,$K$20:$K$22,$K$24:$K$39)*$K$3</f>
        <v>8.2391765711072873E-2</v>
      </c>
      <c r="M21" s="38">
        <v>9664</v>
      </c>
      <c r="N21" s="38">
        <v>32816</v>
      </c>
      <c r="O21" s="38">
        <v>127540</v>
      </c>
      <c r="P21" s="38">
        <v>53518</v>
      </c>
      <c r="Q21" s="38">
        <v>39413</v>
      </c>
      <c r="R21" s="38">
        <v>60546</v>
      </c>
      <c r="S21" s="38">
        <v>58127</v>
      </c>
      <c r="T21" s="38">
        <v>1765026</v>
      </c>
      <c r="U21" s="38">
        <v>211009</v>
      </c>
      <c r="V21" s="38">
        <v>19253</v>
      </c>
      <c r="W21" s="38">
        <v>201605</v>
      </c>
      <c r="X21" s="38">
        <v>2450611</v>
      </c>
      <c r="Y21" s="38">
        <v>958311</v>
      </c>
      <c r="Z21" s="38">
        <v>218259</v>
      </c>
      <c r="AA21" s="38">
        <v>2773762</v>
      </c>
      <c r="AB21" s="38">
        <v>459712</v>
      </c>
      <c r="AC21" s="38">
        <v>238915</v>
      </c>
      <c r="AD21" s="38">
        <v>984873</v>
      </c>
      <c r="AE21" s="38">
        <v>1963776</v>
      </c>
      <c r="AF21" s="38">
        <v>962940</v>
      </c>
      <c r="AG21" s="38">
        <v>659646</v>
      </c>
      <c r="AH21" s="38">
        <v>2473529</v>
      </c>
      <c r="AI21" s="38">
        <v>820745</v>
      </c>
      <c r="AJ21" s="38">
        <v>1323183</v>
      </c>
      <c r="AK21" s="38">
        <v>807734</v>
      </c>
      <c r="AL21" s="38">
        <v>11875</v>
      </c>
      <c r="AM21" s="26">
        <v>20503106</v>
      </c>
      <c r="AN21" s="38">
        <v>10947329</v>
      </c>
      <c r="AO21" s="38">
        <v>0</v>
      </c>
      <c r="AP21" s="38">
        <v>4161544</v>
      </c>
      <c r="AQ21" s="38">
        <v>210426</v>
      </c>
      <c r="AR21" s="38">
        <v>166929</v>
      </c>
      <c r="AS21" s="38">
        <v>1489650</v>
      </c>
      <c r="AT21" s="38">
        <v>3980497</v>
      </c>
      <c r="AU21" s="26">
        <v>20956375</v>
      </c>
      <c r="AV21" s="27">
        <v>41459481</v>
      </c>
      <c r="AW21" s="42">
        <v>28943269</v>
      </c>
      <c r="AX21" s="38">
        <v>11601209</v>
      </c>
      <c r="AY21" s="38">
        <v>915003</v>
      </c>
      <c r="AZ21" s="38">
        <v>12516212</v>
      </c>
      <c r="BA21" s="38">
        <v>0</v>
      </c>
      <c r="BB21" s="38">
        <v>0</v>
      </c>
      <c r="BC21" s="27">
        <v>41459481</v>
      </c>
    </row>
    <row r="22" spans="1:55" ht="13.5" customHeight="1">
      <c r="A22" s="72" t="s">
        <v>63</v>
      </c>
      <c r="B22" s="77" t="s">
        <v>64</v>
      </c>
      <c r="C22" s="38">
        <v>242070</v>
      </c>
      <c r="D22" s="38">
        <v>152155</v>
      </c>
      <c r="E22" s="38">
        <v>5486522</v>
      </c>
      <c r="F22" s="38">
        <v>9985095</v>
      </c>
      <c r="G22" s="38">
        <v>1801603</v>
      </c>
      <c r="H22" s="38">
        <v>435565</v>
      </c>
      <c r="I22" s="38">
        <v>9541669</v>
      </c>
      <c r="J22" s="38">
        <f t="shared" si="1"/>
        <v>9541656.6828415263</v>
      </c>
      <c r="K22" s="104">
        <f>'총투입계수(A)'!I22*cases2!$B$6</f>
        <v>25.334585177498191</v>
      </c>
      <c r="L22" s="104">
        <f>K22/SUM($K$7:$K$18,$K$20:$K$22,$K$24:$K$39)*$K$3</f>
        <v>12.317158473672285</v>
      </c>
      <c r="M22" s="38">
        <v>1369996</v>
      </c>
      <c r="N22" s="38">
        <v>4224299</v>
      </c>
      <c r="O22" s="38">
        <v>5725936</v>
      </c>
      <c r="P22" s="38">
        <v>18958535</v>
      </c>
      <c r="Q22" s="38">
        <v>6950897</v>
      </c>
      <c r="R22" s="38">
        <v>12079284</v>
      </c>
      <c r="S22" s="38">
        <v>8404373</v>
      </c>
      <c r="T22" s="38">
        <v>2035952</v>
      </c>
      <c r="U22" s="38">
        <v>12334112</v>
      </c>
      <c r="V22" s="38">
        <v>411980</v>
      </c>
      <c r="W22" s="38">
        <v>403424</v>
      </c>
      <c r="X22" s="38">
        <v>190115</v>
      </c>
      <c r="Y22" s="38">
        <v>524872</v>
      </c>
      <c r="Z22" s="38">
        <v>87915</v>
      </c>
      <c r="AA22" s="38">
        <v>119377</v>
      </c>
      <c r="AB22" s="38">
        <v>257520</v>
      </c>
      <c r="AC22" s="38">
        <v>52047</v>
      </c>
      <c r="AD22" s="38">
        <v>76140</v>
      </c>
      <c r="AE22" s="38">
        <v>312264</v>
      </c>
      <c r="AF22" s="38">
        <v>1017368</v>
      </c>
      <c r="AG22" s="38">
        <v>230996</v>
      </c>
      <c r="AH22" s="38">
        <v>285366</v>
      </c>
      <c r="AI22" s="38">
        <v>1116365</v>
      </c>
      <c r="AJ22" s="38">
        <v>128510</v>
      </c>
      <c r="AK22" s="38">
        <v>55174</v>
      </c>
      <c r="AL22" s="38">
        <v>1492</v>
      </c>
      <c r="AM22" s="26">
        <v>104998988</v>
      </c>
      <c r="AN22" s="38">
        <v>28837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38">
        <v>4155270</v>
      </c>
      <c r="AU22" s="26">
        <v>4184107</v>
      </c>
      <c r="AV22" s="27">
        <v>109183095</v>
      </c>
      <c r="AW22" s="42">
        <v>96802300</v>
      </c>
      <c r="AX22" s="38">
        <v>12380795</v>
      </c>
      <c r="AY22" s="38">
        <v>0</v>
      </c>
      <c r="AZ22" s="38">
        <v>12380795</v>
      </c>
      <c r="BA22" s="38">
        <v>0</v>
      </c>
      <c r="BB22" s="38">
        <v>0</v>
      </c>
      <c r="BC22" s="27">
        <v>109183095</v>
      </c>
    </row>
    <row r="23" spans="1:55" s="161" customFormat="1" ht="13.5" customHeight="1">
      <c r="A23" s="155" t="s">
        <v>65</v>
      </c>
      <c r="B23" s="156" t="s">
        <v>13</v>
      </c>
      <c r="C23" s="127">
        <v>1767890</v>
      </c>
      <c r="D23" s="127">
        <v>309520</v>
      </c>
      <c r="E23" s="127">
        <v>3418331</v>
      </c>
      <c r="F23" s="127">
        <v>1482512</v>
      </c>
      <c r="G23" s="127">
        <v>2587944</v>
      </c>
      <c r="H23" s="127">
        <v>4698075</v>
      </c>
      <c r="I23" s="127">
        <v>13644506</v>
      </c>
      <c r="J23" s="127">
        <f t="shared" si="1"/>
        <v>13644306</v>
      </c>
      <c r="K23" s="157">
        <v>200</v>
      </c>
      <c r="L23" s="157">
        <f>K23</f>
        <v>200</v>
      </c>
      <c r="M23" s="127">
        <v>2510460</v>
      </c>
      <c r="N23" s="127">
        <v>13713403</v>
      </c>
      <c r="O23" s="127">
        <v>1874689</v>
      </c>
      <c r="P23" s="127">
        <v>10769625</v>
      </c>
      <c r="Q23" s="127">
        <v>1765024</v>
      </c>
      <c r="R23" s="127">
        <v>2141590</v>
      </c>
      <c r="S23" s="127">
        <v>4950664</v>
      </c>
      <c r="T23" s="127">
        <v>197778</v>
      </c>
      <c r="U23" s="127">
        <v>810329</v>
      </c>
      <c r="V23" s="127">
        <v>25782761</v>
      </c>
      <c r="W23" s="127">
        <v>909490</v>
      </c>
      <c r="X23" s="127">
        <v>748789</v>
      </c>
      <c r="Y23" s="127">
        <v>3749316</v>
      </c>
      <c r="Z23" s="127">
        <v>3699428</v>
      </c>
      <c r="AA23" s="127">
        <v>1395483</v>
      </c>
      <c r="AB23" s="127">
        <v>1207141</v>
      </c>
      <c r="AC23" s="127">
        <v>1004513</v>
      </c>
      <c r="AD23" s="127">
        <v>2119641</v>
      </c>
      <c r="AE23" s="127">
        <v>6920949</v>
      </c>
      <c r="AF23" s="127">
        <v>477521</v>
      </c>
      <c r="AG23" s="127">
        <v>1132201</v>
      </c>
      <c r="AH23" s="127">
        <v>3465835</v>
      </c>
      <c r="AI23" s="127">
        <v>1954483</v>
      </c>
      <c r="AJ23" s="127">
        <v>920786</v>
      </c>
      <c r="AK23" s="127">
        <v>777356</v>
      </c>
      <c r="AL23" s="127">
        <v>2523</v>
      </c>
      <c r="AM23" s="158">
        <v>122910556</v>
      </c>
      <c r="AN23" s="127">
        <v>28833591</v>
      </c>
      <c r="AO23" s="127">
        <v>0</v>
      </c>
      <c r="AP23" s="127">
        <v>0</v>
      </c>
      <c r="AQ23" s="127">
        <v>0</v>
      </c>
      <c r="AR23" s="127">
        <v>0</v>
      </c>
      <c r="AS23" s="127">
        <v>0</v>
      </c>
      <c r="AT23" s="127">
        <v>163506</v>
      </c>
      <c r="AU23" s="158">
        <v>28997097</v>
      </c>
      <c r="AV23" s="159">
        <v>151907653</v>
      </c>
      <c r="AW23" s="160">
        <v>151678800</v>
      </c>
      <c r="AX23" s="127">
        <v>228853</v>
      </c>
      <c r="AY23" s="127">
        <v>0</v>
      </c>
      <c r="AZ23" s="127">
        <v>228853</v>
      </c>
      <c r="BA23" s="127">
        <v>0</v>
      </c>
      <c r="BB23" s="127">
        <v>0</v>
      </c>
      <c r="BC23" s="159">
        <v>151907653</v>
      </c>
    </row>
    <row r="24" spans="1:55" ht="13.5" customHeight="1">
      <c r="A24" s="72" t="s">
        <v>66</v>
      </c>
      <c r="B24" s="77" t="s">
        <v>67</v>
      </c>
      <c r="C24" s="38">
        <v>89368</v>
      </c>
      <c r="D24" s="38">
        <v>14541</v>
      </c>
      <c r="E24" s="38">
        <v>826779</v>
      </c>
      <c r="F24" s="38">
        <v>386115</v>
      </c>
      <c r="G24" s="38">
        <v>575476</v>
      </c>
      <c r="H24" s="38">
        <v>130595</v>
      </c>
      <c r="I24" s="38">
        <v>4924316</v>
      </c>
      <c r="J24" s="38">
        <f t="shared" si="1"/>
        <v>4924309.6432944229</v>
      </c>
      <c r="K24" s="104">
        <f>'총투입계수(A)'!I24*cases2!$B$6</f>
        <v>13.07480935912964</v>
      </c>
      <c r="L24" s="104">
        <f t="shared" ref="L24:L39" si="2">K24/SUM($K$7:$K$18,$K$20:$K$22,$K$24:$K$39)*$K$3</f>
        <v>6.3567055770264087</v>
      </c>
      <c r="M24" s="38">
        <v>637797</v>
      </c>
      <c r="N24" s="38">
        <v>5187656</v>
      </c>
      <c r="O24" s="38">
        <v>905612</v>
      </c>
      <c r="P24" s="38">
        <v>235320</v>
      </c>
      <c r="Q24" s="38">
        <v>281475</v>
      </c>
      <c r="R24" s="38">
        <v>742523</v>
      </c>
      <c r="S24" s="38">
        <v>461476</v>
      </c>
      <c r="T24" s="38">
        <v>55082</v>
      </c>
      <c r="U24" s="38">
        <v>255182</v>
      </c>
      <c r="V24" s="38">
        <v>332905</v>
      </c>
      <c r="W24" s="38">
        <v>2236474</v>
      </c>
      <c r="X24" s="38">
        <v>341237</v>
      </c>
      <c r="Y24" s="38">
        <v>165479</v>
      </c>
      <c r="Z24" s="38">
        <v>464005</v>
      </c>
      <c r="AA24" s="38">
        <v>2878054</v>
      </c>
      <c r="AB24" s="38">
        <v>361325</v>
      </c>
      <c r="AC24" s="38">
        <v>303706</v>
      </c>
      <c r="AD24" s="38">
        <v>2573899</v>
      </c>
      <c r="AE24" s="38">
        <v>1005874</v>
      </c>
      <c r="AF24" s="38">
        <v>452566</v>
      </c>
      <c r="AG24" s="38">
        <v>1046785</v>
      </c>
      <c r="AH24" s="38">
        <v>1383081</v>
      </c>
      <c r="AI24" s="38">
        <v>1977621</v>
      </c>
      <c r="AJ24" s="38">
        <v>421875</v>
      </c>
      <c r="AK24" s="38">
        <v>627650</v>
      </c>
      <c r="AL24" s="38">
        <v>8234</v>
      </c>
      <c r="AM24" s="26">
        <v>32290083</v>
      </c>
      <c r="AN24" s="38">
        <v>5621462</v>
      </c>
      <c r="AO24" s="38">
        <v>3376692</v>
      </c>
      <c r="AP24" s="38">
        <v>0</v>
      </c>
      <c r="AQ24" s="38">
        <v>0</v>
      </c>
      <c r="AR24" s="38">
        <v>0</v>
      </c>
      <c r="AS24" s="38">
        <v>0</v>
      </c>
      <c r="AT24" s="38">
        <v>703138</v>
      </c>
      <c r="AU24" s="26">
        <v>9701292</v>
      </c>
      <c r="AV24" s="27">
        <v>41991375</v>
      </c>
      <c r="AW24" s="42">
        <v>41799020</v>
      </c>
      <c r="AX24" s="38">
        <v>192355</v>
      </c>
      <c r="AY24" s="38">
        <v>0</v>
      </c>
      <c r="AZ24" s="38">
        <v>192355</v>
      </c>
      <c r="BA24" s="38">
        <v>0</v>
      </c>
      <c r="BB24" s="38">
        <v>0</v>
      </c>
      <c r="BC24" s="27">
        <v>41991375</v>
      </c>
    </row>
    <row r="25" spans="1:55" ht="13.5" customHeight="1">
      <c r="A25" s="72" t="s">
        <v>68</v>
      </c>
      <c r="B25" s="77" t="s">
        <v>14</v>
      </c>
      <c r="C25" s="38">
        <v>88514</v>
      </c>
      <c r="D25" s="38">
        <v>32490</v>
      </c>
      <c r="E25" s="38">
        <v>115964</v>
      </c>
      <c r="F25" s="38">
        <v>17981</v>
      </c>
      <c r="G25" s="38">
        <v>52301</v>
      </c>
      <c r="H25" s="38">
        <v>105287</v>
      </c>
      <c r="I25" s="38">
        <v>239147</v>
      </c>
      <c r="J25" s="38">
        <f t="shared" si="1"/>
        <v>239146.69128970022</v>
      </c>
      <c r="K25" s="104">
        <f>'총투입계수(A)'!I25*cases2!$B$6</f>
        <v>0.63497172679571656</v>
      </c>
      <c r="L25" s="104">
        <f t="shared" si="2"/>
        <v>0.3087102997917141</v>
      </c>
      <c r="M25" s="38">
        <v>35374</v>
      </c>
      <c r="N25" s="38">
        <v>173084</v>
      </c>
      <c r="O25" s="38">
        <v>142250</v>
      </c>
      <c r="P25" s="38">
        <v>79641</v>
      </c>
      <c r="Q25" s="38">
        <v>106790</v>
      </c>
      <c r="R25" s="38">
        <v>86476</v>
      </c>
      <c r="S25" s="38">
        <v>23178</v>
      </c>
      <c r="T25" s="38">
        <v>15431</v>
      </c>
      <c r="U25" s="38">
        <v>19997</v>
      </c>
      <c r="V25" s="38">
        <v>294042</v>
      </c>
      <c r="W25" s="38">
        <v>116218</v>
      </c>
      <c r="X25" s="38">
        <v>22772</v>
      </c>
      <c r="Y25" s="38">
        <v>382154</v>
      </c>
      <c r="Z25" s="38">
        <v>135823</v>
      </c>
      <c r="AA25" s="38">
        <v>862064</v>
      </c>
      <c r="AB25" s="38">
        <v>378330</v>
      </c>
      <c r="AC25" s="38">
        <v>59155</v>
      </c>
      <c r="AD25" s="38">
        <v>18831564</v>
      </c>
      <c r="AE25" s="38">
        <v>837373</v>
      </c>
      <c r="AF25" s="38">
        <v>366211</v>
      </c>
      <c r="AG25" s="38">
        <v>850453</v>
      </c>
      <c r="AH25" s="38">
        <v>169025</v>
      </c>
      <c r="AI25" s="38">
        <v>98138</v>
      </c>
      <c r="AJ25" s="38">
        <v>151080</v>
      </c>
      <c r="AK25" s="38">
        <v>166440</v>
      </c>
      <c r="AL25" s="38">
        <v>8090</v>
      </c>
      <c r="AM25" s="26">
        <v>25062837</v>
      </c>
      <c r="AN25" s="38">
        <v>0</v>
      </c>
      <c r="AO25" s="38">
        <v>0</v>
      </c>
      <c r="AP25" s="38">
        <v>239341758</v>
      </c>
      <c r="AQ25" s="38">
        <v>75543183</v>
      </c>
      <c r="AR25" s="38">
        <v>2120576</v>
      </c>
      <c r="AS25" s="38">
        <v>0</v>
      </c>
      <c r="AT25" s="38">
        <v>171495</v>
      </c>
      <c r="AU25" s="26">
        <v>317177012</v>
      </c>
      <c r="AV25" s="27">
        <v>342239849</v>
      </c>
      <c r="AW25" s="42">
        <v>342238299</v>
      </c>
      <c r="AX25" s="38">
        <v>1550</v>
      </c>
      <c r="AY25" s="38">
        <v>0</v>
      </c>
      <c r="AZ25" s="38">
        <v>1550</v>
      </c>
      <c r="BA25" s="38">
        <v>0</v>
      </c>
      <c r="BB25" s="38">
        <v>0</v>
      </c>
      <c r="BC25" s="27">
        <v>342239849</v>
      </c>
    </row>
    <row r="26" spans="1:55" ht="13.5" customHeight="1">
      <c r="A26" s="72" t="s">
        <v>69</v>
      </c>
      <c r="B26" s="77" t="s">
        <v>70</v>
      </c>
      <c r="C26" s="38">
        <v>4017209</v>
      </c>
      <c r="D26" s="38">
        <v>92735</v>
      </c>
      <c r="E26" s="38">
        <v>13462055</v>
      </c>
      <c r="F26" s="38">
        <v>6233010</v>
      </c>
      <c r="G26" s="38">
        <v>3475883</v>
      </c>
      <c r="H26" s="38">
        <v>2667447</v>
      </c>
      <c r="I26" s="38">
        <v>16297636</v>
      </c>
      <c r="J26" s="38">
        <f t="shared" si="1"/>
        <v>16297614.961692618</v>
      </c>
      <c r="K26" s="104">
        <f>'총투입계수(A)'!I26*cases2!$B$6</f>
        <v>43.272707053017747</v>
      </c>
      <c r="L26" s="104">
        <f t="shared" si="2"/>
        <v>21.038307381887428</v>
      </c>
      <c r="M26" s="38">
        <v>2168116</v>
      </c>
      <c r="N26" s="38">
        <v>4793951</v>
      </c>
      <c r="O26" s="38">
        <v>4627359</v>
      </c>
      <c r="P26" s="38">
        <v>12829244</v>
      </c>
      <c r="Q26" s="38">
        <v>7574944</v>
      </c>
      <c r="R26" s="38">
        <v>7673225</v>
      </c>
      <c r="S26" s="38">
        <v>14473615</v>
      </c>
      <c r="T26" s="38">
        <v>2501432</v>
      </c>
      <c r="U26" s="38">
        <v>2360968</v>
      </c>
      <c r="V26" s="38">
        <v>3590237</v>
      </c>
      <c r="W26" s="38">
        <v>1036779</v>
      </c>
      <c r="X26" s="38">
        <v>12332647</v>
      </c>
      <c r="Y26" s="38">
        <v>17942218</v>
      </c>
      <c r="Z26" s="38">
        <v>3342006</v>
      </c>
      <c r="AA26" s="38">
        <v>17133669</v>
      </c>
      <c r="AB26" s="38">
        <v>8902929</v>
      </c>
      <c r="AC26" s="38">
        <v>532693</v>
      </c>
      <c r="AD26" s="38">
        <v>771050</v>
      </c>
      <c r="AE26" s="38">
        <v>6796534</v>
      </c>
      <c r="AF26" s="38">
        <v>2561456</v>
      </c>
      <c r="AG26" s="38">
        <v>2237644</v>
      </c>
      <c r="AH26" s="38">
        <v>2524334</v>
      </c>
      <c r="AI26" s="38">
        <v>13549614</v>
      </c>
      <c r="AJ26" s="38">
        <v>1885064</v>
      </c>
      <c r="AK26" s="38">
        <v>3582370</v>
      </c>
      <c r="AL26" s="38">
        <v>43486</v>
      </c>
      <c r="AM26" s="26">
        <v>204013559</v>
      </c>
      <c r="AN26" s="38">
        <v>134942015</v>
      </c>
      <c r="AO26" s="38">
        <v>0</v>
      </c>
      <c r="AP26" s="38">
        <v>20207842</v>
      </c>
      <c r="AQ26" s="38">
        <v>1806222</v>
      </c>
      <c r="AR26" s="38">
        <v>582671</v>
      </c>
      <c r="AS26" s="38">
        <v>578417</v>
      </c>
      <c r="AT26" s="38">
        <v>39426548</v>
      </c>
      <c r="AU26" s="26">
        <v>197543715</v>
      </c>
      <c r="AV26" s="27">
        <v>401557274</v>
      </c>
      <c r="AW26" s="42">
        <v>396488672</v>
      </c>
      <c r="AX26" s="38">
        <v>5068602</v>
      </c>
      <c r="AY26" s="38">
        <v>0</v>
      </c>
      <c r="AZ26" s="38">
        <v>5068602</v>
      </c>
      <c r="BA26" s="38">
        <v>0</v>
      </c>
      <c r="BB26" s="38">
        <v>0</v>
      </c>
      <c r="BC26" s="27">
        <v>401557274</v>
      </c>
    </row>
    <row r="27" spans="1:55" ht="13.5" customHeight="1">
      <c r="A27" s="72" t="s">
        <v>71</v>
      </c>
      <c r="B27" s="77" t="s">
        <v>42</v>
      </c>
      <c r="C27" s="38">
        <v>1919167</v>
      </c>
      <c r="D27" s="38">
        <v>799284</v>
      </c>
      <c r="E27" s="38">
        <v>6346706</v>
      </c>
      <c r="F27" s="38">
        <v>2668966</v>
      </c>
      <c r="G27" s="38">
        <v>2365196</v>
      </c>
      <c r="H27" s="38">
        <v>1716791</v>
      </c>
      <c r="I27" s="38">
        <v>11761475</v>
      </c>
      <c r="J27" s="38">
        <f t="shared" si="1"/>
        <v>11761459.817336312</v>
      </c>
      <c r="K27" s="104">
        <f>'총투입계수(A)'!I27*cases2!$B$6</f>
        <v>31.22850836688167</v>
      </c>
      <c r="L27" s="104">
        <f t="shared" si="2"/>
        <v>15.18266368903959</v>
      </c>
      <c r="M27" s="38">
        <v>5779159</v>
      </c>
      <c r="N27" s="38">
        <v>5382372</v>
      </c>
      <c r="O27" s="38">
        <v>3816276</v>
      </c>
      <c r="P27" s="38">
        <v>4240610</v>
      </c>
      <c r="Q27" s="38">
        <v>2821897</v>
      </c>
      <c r="R27" s="38">
        <v>4171193</v>
      </c>
      <c r="S27" s="38">
        <v>3826162</v>
      </c>
      <c r="T27" s="38">
        <v>1062698</v>
      </c>
      <c r="U27" s="38">
        <v>1535413</v>
      </c>
      <c r="V27" s="38">
        <v>700835</v>
      </c>
      <c r="W27" s="38">
        <v>3021647</v>
      </c>
      <c r="X27" s="38">
        <v>3493413</v>
      </c>
      <c r="Y27" s="38">
        <v>30984703</v>
      </c>
      <c r="Z27" s="38">
        <v>36280065</v>
      </c>
      <c r="AA27" s="38">
        <v>3439509</v>
      </c>
      <c r="AB27" s="38">
        <v>1733366</v>
      </c>
      <c r="AC27" s="38">
        <v>763410</v>
      </c>
      <c r="AD27" s="38">
        <v>734963</v>
      </c>
      <c r="AE27" s="38">
        <v>4637907</v>
      </c>
      <c r="AF27" s="38">
        <v>2409856</v>
      </c>
      <c r="AG27" s="38">
        <v>2789128</v>
      </c>
      <c r="AH27" s="38">
        <v>779792</v>
      </c>
      <c r="AI27" s="38">
        <v>1650316</v>
      </c>
      <c r="AJ27" s="38">
        <v>456533</v>
      </c>
      <c r="AK27" s="38">
        <v>1197763</v>
      </c>
      <c r="AL27" s="38">
        <v>194310</v>
      </c>
      <c r="AM27" s="26">
        <v>155480881</v>
      </c>
      <c r="AN27" s="38">
        <v>46349360</v>
      </c>
      <c r="AO27" s="38">
        <v>0</v>
      </c>
      <c r="AP27" s="38">
        <v>454497</v>
      </c>
      <c r="AQ27" s="38">
        <v>177198</v>
      </c>
      <c r="AR27" s="38">
        <v>90062</v>
      </c>
      <c r="AS27" s="38">
        <v>9663</v>
      </c>
      <c r="AT27" s="38">
        <v>51177729</v>
      </c>
      <c r="AU27" s="26">
        <v>98258509</v>
      </c>
      <c r="AV27" s="27">
        <v>253739390</v>
      </c>
      <c r="AW27" s="42">
        <v>221215271</v>
      </c>
      <c r="AX27" s="38">
        <v>32524119</v>
      </c>
      <c r="AY27" s="38">
        <v>0</v>
      </c>
      <c r="AZ27" s="38">
        <v>32524119</v>
      </c>
      <c r="BA27" s="38">
        <v>0</v>
      </c>
      <c r="BB27" s="38">
        <v>0</v>
      </c>
      <c r="BC27" s="27">
        <v>253739390</v>
      </c>
    </row>
    <row r="28" spans="1:55" ht="13.5" customHeight="1">
      <c r="A28" s="72" t="s">
        <v>72</v>
      </c>
      <c r="B28" s="77" t="s">
        <v>15</v>
      </c>
      <c r="C28" s="38">
        <v>486496</v>
      </c>
      <c r="D28" s="38">
        <v>118589</v>
      </c>
      <c r="E28" s="38">
        <v>714237</v>
      </c>
      <c r="F28" s="38">
        <v>554536</v>
      </c>
      <c r="G28" s="38">
        <v>579581</v>
      </c>
      <c r="H28" s="38">
        <v>281811</v>
      </c>
      <c r="I28" s="38">
        <v>1877941</v>
      </c>
      <c r="J28" s="38">
        <f t="shared" si="1"/>
        <v>1877938.5758017909</v>
      </c>
      <c r="K28" s="104">
        <f>'총투입계수(A)'!I28*cases2!$B$6</f>
        <v>4.9862195201715878</v>
      </c>
      <c r="L28" s="104">
        <f t="shared" si="2"/>
        <v>2.4241982090561511</v>
      </c>
      <c r="M28" s="38">
        <v>397497</v>
      </c>
      <c r="N28" s="38">
        <v>909887</v>
      </c>
      <c r="O28" s="38">
        <v>1188218</v>
      </c>
      <c r="P28" s="38">
        <v>1271637</v>
      </c>
      <c r="Q28" s="38">
        <v>654787</v>
      </c>
      <c r="R28" s="38">
        <v>1409906</v>
      </c>
      <c r="S28" s="38">
        <v>1251367</v>
      </c>
      <c r="T28" s="38">
        <v>249705</v>
      </c>
      <c r="U28" s="38">
        <v>2627810</v>
      </c>
      <c r="V28" s="38">
        <v>395221</v>
      </c>
      <c r="W28" s="38">
        <v>706263</v>
      </c>
      <c r="X28" s="38">
        <v>1124688</v>
      </c>
      <c r="Y28" s="38">
        <v>16374635</v>
      </c>
      <c r="Z28" s="38">
        <v>2603168</v>
      </c>
      <c r="AA28" s="38">
        <v>1489195</v>
      </c>
      <c r="AB28" s="38">
        <v>3506755</v>
      </c>
      <c r="AC28" s="38">
        <v>4440413</v>
      </c>
      <c r="AD28" s="38">
        <v>2669324</v>
      </c>
      <c r="AE28" s="38">
        <v>13245276</v>
      </c>
      <c r="AF28" s="38">
        <v>4849979</v>
      </c>
      <c r="AG28" s="38">
        <v>5957103</v>
      </c>
      <c r="AH28" s="38">
        <v>4252669</v>
      </c>
      <c r="AI28" s="38">
        <v>5569033</v>
      </c>
      <c r="AJ28" s="38">
        <v>2299807</v>
      </c>
      <c r="AK28" s="38">
        <v>5143416</v>
      </c>
      <c r="AL28" s="38">
        <v>7472</v>
      </c>
      <c r="AM28" s="26">
        <v>89208422</v>
      </c>
      <c r="AN28" s="38">
        <v>143478057</v>
      </c>
      <c r="AO28" s="38">
        <v>0</v>
      </c>
      <c r="AP28" s="38">
        <v>0</v>
      </c>
      <c r="AQ28" s="38">
        <v>0</v>
      </c>
      <c r="AR28" s="38">
        <v>0</v>
      </c>
      <c r="AS28" s="38">
        <v>0</v>
      </c>
      <c r="AT28" s="38">
        <v>10651506</v>
      </c>
      <c r="AU28" s="26">
        <v>154129563</v>
      </c>
      <c r="AV28" s="27">
        <v>243337985</v>
      </c>
      <c r="AW28" s="42">
        <v>223735804</v>
      </c>
      <c r="AX28" s="38">
        <v>19602181</v>
      </c>
      <c r="AY28" s="38">
        <v>0</v>
      </c>
      <c r="AZ28" s="38">
        <v>19602181</v>
      </c>
      <c r="BA28" s="38">
        <v>0</v>
      </c>
      <c r="BB28" s="38">
        <v>0</v>
      </c>
      <c r="BC28" s="27">
        <v>243337985</v>
      </c>
    </row>
    <row r="29" spans="1:55" ht="13.5" customHeight="1">
      <c r="A29" s="72" t="s">
        <v>73</v>
      </c>
      <c r="B29" s="77" t="s">
        <v>136</v>
      </c>
      <c r="C29" s="38">
        <v>188130</v>
      </c>
      <c r="D29" s="38">
        <v>26237</v>
      </c>
      <c r="E29" s="38">
        <v>380285</v>
      </c>
      <c r="F29" s="38">
        <v>190878</v>
      </c>
      <c r="G29" s="38">
        <v>371296</v>
      </c>
      <c r="H29" s="38">
        <v>552800</v>
      </c>
      <c r="I29" s="38">
        <v>883077</v>
      </c>
      <c r="J29" s="38">
        <f t="shared" si="1"/>
        <v>883075.86005274823</v>
      </c>
      <c r="K29" s="104">
        <f>'총투입계수(A)'!I29*cases2!$B$6</f>
        <v>2.3447040003996751</v>
      </c>
      <c r="L29" s="104">
        <f t="shared" si="2"/>
        <v>1.1399472517287172</v>
      </c>
      <c r="M29" s="38">
        <v>168970</v>
      </c>
      <c r="N29" s="38">
        <v>631418</v>
      </c>
      <c r="O29" s="38">
        <v>565439</v>
      </c>
      <c r="P29" s="38">
        <v>1494611</v>
      </c>
      <c r="Q29" s="38">
        <v>449424</v>
      </c>
      <c r="R29" s="38">
        <v>653347</v>
      </c>
      <c r="S29" s="38">
        <v>799174</v>
      </c>
      <c r="T29" s="38">
        <v>268440</v>
      </c>
      <c r="U29" s="38">
        <v>621396</v>
      </c>
      <c r="V29" s="38">
        <v>203385</v>
      </c>
      <c r="W29" s="38">
        <v>580315</v>
      </c>
      <c r="X29" s="38">
        <v>863463</v>
      </c>
      <c r="Y29" s="38">
        <v>10892513</v>
      </c>
      <c r="Z29" s="38">
        <v>2462241</v>
      </c>
      <c r="AA29" s="38">
        <v>2378818</v>
      </c>
      <c r="AB29" s="38">
        <v>36692460</v>
      </c>
      <c r="AC29" s="38">
        <v>10613194</v>
      </c>
      <c r="AD29" s="38">
        <v>1313214</v>
      </c>
      <c r="AE29" s="38">
        <v>23465329</v>
      </c>
      <c r="AF29" s="38">
        <v>2729996</v>
      </c>
      <c r="AG29" s="38">
        <v>4923042</v>
      </c>
      <c r="AH29" s="38">
        <v>4578307</v>
      </c>
      <c r="AI29" s="38">
        <v>1581861</v>
      </c>
      <c r="AJ29" s="38">
        <v>4156063</v>
      </c>
      <c r="AK29" s="38">
        <v>1552462</v>
      </c>
      <c r="AL29" s="38">
        <v>39355</v>
      </c>
      <c r="AM29" s="26">
        <v>117270940</v>
      </c>
      <c r="AN29" s="38">
        <v>57033560</v>
      </c>
      <c r="AO29" s="38">
        <v>0</v>
      </c>
      <c r="AP29" s="38">
        <v>43922864</v>
      </c>
      <c r="AQ29" s="38">
        <v>791918</v>
      </c>
      <c r="AR29" s="38">
        <v>37855</v>
      </c>
      <c r="AS29" s="38">
        <v>0</v>
      </c>
      <c r="AT29" s="38">
        <v>21485525</v>
      </c>
      <c r="AU29" s="26">
        <v>123271722</v>
      </c>
      <c r="AV29" s="27">
        <v>240542662</v>
      </c>
      <c r="AW29" s="42">
        <v>218302817</v>
      </c>
      <c r="AX29" s="38">
        <v>22239838</v>
      </c>
      <c r="AY29" s="38">
        <v>7</v>
      </c>
      <c r="AZ29" s="38">
        <v>22239845</v>
      </c>
      <c r="BA29" s="38">
        <v>0</v>
      </c>
      <c r="BB29" s="38">
        <v>0</v>
      </c>
      <c r="BC29" s="27">
        <v>240542662</v>
      </c>
    </row>
    <row r="30" spans="1:55" ht="13.5" customHeight="1">
      <c r="A30" s="72" t="s">
        <v>74</v>
      </c>
      <c r="B30" s="77" t="s">
        <v>137</v>
      </c>
      <c r="C30" s="38">
        <v>1170064</v>
      </c>
      <c r="D30" s="38">
        <v>65479</v>
      </c>
      <c r="E30" s="38">
        <v>1831397</v>
      </c>
      <c r="F30" s="38">
        <v>1070524</v>
      </c>
      <c r="G30" s="38">
        <v>845742</v>
      </c>
      <c r="H30" s="38">
        <v>1187810</v>
      </c>
      <c r="I30" s="38">
        <v>4178066</v>
      </c>
      <c r="J30" s="38">
        <f t="shared" si="1"/>
        <v>4178060.6066143108</v>
      </c>
      <c r="K30" s="104">
        <f>'총투입계수(A)'!I30*cases2!$B$6</f>
        <v>11.093401893757701</v>
      </c>
      <c r="L30" s="104">
        <f t="shared" si="2"/>
        <v>5.3933856891768164</v>
      </c>
      <c r="M30" s="38">
        <v>684791</v>
      </c>
      <c r="N30" s="38">
        <v>1732784</v>
      </c>
      <c r="O30" s="38">
        <v>1829612</v>
      </c>
      <c r="P30" s="38">
        <v>2949714</v>
      </c>
      <c r="Q30" s="38">
        <v>1708449</v>
      </c>
      <c r="R30" s="38">
        <v>2643984</v>
      </c>
      <c r="S30" s="38">
        <v>3028415</v>
      </c>
      <c r="T30" s="38">
        <v>377441</v>
      </c>
      <c r="U30" s="38">
        <v>688620</v>
      </c>
      <c r="V30" s="38">
        <v>1513844</v>
      </c>
      <c r="W30" s="38">
        <v>716668</v>
      </c>
      <c r="X30" s="38">
        <v>4692734</v>
      </c>
      <c r="Y30" s="38">
        <v>9394744</v>
      </c>
      <c r="Z30" s="38">
        <v>2698034</v>
      </c>
      <c r="AA30" s="38">
        <v>3596568</v>
      </c>
      <c r="AB30" s="38">
        <v>2479141</v>
      </c>
      <c r="AC30" s="38">
        <v>42355592</v>
      </c>
      <c r="AD30" s="38">
        <v>21428865</v>
      </c>
      <c r="AE30" s="38">
        <v>3519114</v>
      </c>
      <c r="AF30" s="38">
        <v>1570014</v>
      </c>
      <c r="AG30" s="38">
        <v>4774938</v>
      </c>
      <c r="AH30" s="38">
        <v>3079717</v>
      </c>
      <c r="AI30" s="38">
        <v>4478359</v>
      </c>
      <c r="AJ30" s="38">
        <v>1171943</v>
      </c>
      <c r="AK30" s="38">
        <v>1838555</v>
      </c>
      <c r="AL30" s="38">
        <v>0</v>
      </c>
      <c r="AM30" s="26">
        <v>135301722</v>
      </c>
      <c r="AN30" s="38">
        <v>94642976</v>
      </c>
      <c r="AO30" s="38">
        <v>149222</v>
      </c>
      <c r="AP30" s="38">
        <v>0</v>
      </c>
      <c r="AQ30" s="38">
        <v>0</v>
      </c>
      <c r="AR30" s="38">
        <v>0</v>
      </c>
      <c r="AS30" s="38">
        <v>0</v>
      </c>
      <c r="AT30" s="38">
        <v>9183457</v>
      </c>
      <c r="AU30" s="26">
        <v>103975655</v>
      </c>
      <c r="AV30" s="27">
        <v>239277377</v>
      </c>
      <c r="AW30" s="42">
        <v>230943184</v>
      </c>
      <c r="AX30" s="38">
        <v>8334193</v>
      </c>
      <c r="AY30" s="38">
        <v>0</v>
      </c>
      <c r="AZ30" s="38">
        <v>8334193</v>
      </c>
      <c r="BA30" s="38">
        <v>0</v>
      </c>
      <c r="BB30" s="38">
        <v>0</v>
      </c>
      <c r="BC30" s="27">
        <v>239277377</v>
      </c>
    </row>
    <row r="31" spans="1:55" ht="13.5" customHeight="1">
      <c r="A31" s="72" t="s">
        <v>75</v>
      </c>
      <c r="B31" s="77" t="s">
        <v>76</v>
      </c>
      <c r="C31" s="38">
        <v>35782</v>
      </c>
      <c r="D31" s="38">
        <v>6525</v>
      </c>
      <c r="E31" s="38">
        <v>355125</v>
      </c>
      <c r="F31" s="38">
        <v>278962</v>
      </c>
      <c r="G31" s="38">
        <v>194301</v>
      </c>
      <c r="H31" s="38">
        <v>125920</v>
      </c>
      <c r="I31" s="38">
        <v>476381</v>
      </c>
      <c r="J31" s="38">
        <f t="shared" si="1"/>
        <v>476380.38504885562</v>
      </c>
      <c r="K31" s="104">
        <f>'총투입계수(A)'!I31*cases2!$B$6</f>
        <v>1.2648641470838871</v>
      </c>
      <c r="L31" s="104">
        <f t="shared" si="2"/>
        <v>0.61495114438013687</v>
      </c>
      <c r="M31" s="38">
        <v>68563</v>
      </c>
      <c r="N31" s="38">
        <v>208273</v>
      </c>
      <c r="O31" s="38">
        <v>211950</v>
      </c>
      <c r="P31" s="38">
        <v>350672</v>
      </c>
      <c r="Q31" s="38">
        <v>334244</v>
      </c>
      <c r="R31" s="38">
        <v>210151</v>
      </c>
      <c r="S31" s="38">
        <v>324469</v>
      </c>
      <c r="T31" s="38">
        <v>144474</v>
      </c>
      <c r="U31" s="38">
        <v>448306</v>
      </c>
      <c r="V31" s="38">
        <v>74004</v>
      </c>
      <c r="W31" s="38">
        <v>540288</v>
      </c>
      <c r="X31" s="38">
        <v>533213</v>
      </c>
      <c r="Y31" s="38">
        <v>19558837</v>
      </c>
      <c r="Z31" s="38">
        <v>1784815</v>
      </c>
      <c r="AA31" s="38">
        <v>10709339</v>
      </c>
      <c r="AB31" s="38">
        <v>2207460</v>
      </c>
      <c r="AC31" s="38">
        <v>3792337</v>
      </c>
      <c r="AD31" s="38">
        <v>7890746</v>
      </c>
      <c r="AE31" s="38">
        <v>9191886</v>
      </c>
      <c r="AF31" s="38">
        <v>2186463</v>
      </c>
      <c r="AG31" s="38">
        <v>1163421</v>
      </c>
      <c r="AH31" s="38">
        <v>3880427</v>
      </c>
      <c r="AI31" s="38">
        <v>4078970</v>
      </c>
      <c r="AJ31" s="38">
        <v>633246</v>
      </c>
      <c r="AK31" s="38">
        <v>1824621</v>
      </c>
      <c r="AL31" s="38">
        <v>3335</v>
      </c>
      <c r="AM31" s="26">
        <v>73827506</v>
      </c>
      <c r="AN31" s="38">
        <v>153308641</v>
      </c>
      <c r="AO31" s="38">
        <v>0</v>
      </c>
      <c r="AP31" s="38">
        <v>45947699</v>
      </c>
      <c r="AQ31" s="38">
        <v>16733</v>
      </c>
      <c r="AR31" s="38">
        <v>0</v>
      </c>
      <c r="AS31" s="38">
        <v>0</v>
      </c>
      <c r="AT31" s="38">
        <v>321254</v>
      </c>
      <c r="AU31" s="26">
        <v>199594327</v>
      </c>
      <c r="AV31" s="27">
        <v>273421833</v>
      </c>
      <c r="AW31" s="42">
        <v>271811087</v>
      </c>
      <c r="AX31" s="38">
        <v>1610746</v>
      </c>
      <c r="AY31" s="38">
        <v>0</v>
      </c>
      <c r="AZ31" s="38">
        <v>1610746</v>
      </c>
      <c r="BA31" s="38">
        <v>0</v>
      </c>
      <c r="BB31" s="38">
        <v>0</v>
      </c>
      <c r="BC31" s="27">
        <v>273421833</v>
      </c>
    </row>
    <row r="32" spans="1:55" ht="13.5" customHeight="1">
      <c r="A32" s="72" t="s">
        <v>77</v>
      </c>
      <c r="B32" s="77" t="s">
        <v>43</v>
      </c>
      <c r="C32" s="38">
        <v>1230473</v>
      </c>
      <c r="D32" s="38">
        <v>257566</v>
      </c>
      <c r="E32" s="38">
        <v>9618973</v>
      </c>
      <c r="F32" s="38">
        <v>1881685</v>
      </c>
      <c r="G32" s="38">
        <v>1682908</v>
      </c>
      <c r="H32" s="38">
        <v>3511875</v>
      </c>
      <c r="I32" s="38">
        <v>18948053</v>
      </c>
      <c r="J32" s="38">
        <f t="shared" si="1"/>
        <v>18948028.540319879</v>
      </c>
      <c r="K32" s="104">
        <f>'총투입계수(A)'!I32*cases2!$B$6</f>
        <v>50.309968064942311</v>
      </c>
      <c r="L32" s="104">
        <f t="shared" si="2"/>
        <v>24.459680121846766</v>
      </c>
      <c r="M32" s="38">
        <v>2179447</v>
      </c>
      <c r="N32" s="38">
        <v>7371240</v>
      </c>
      <c r="O32" s="38">
        <v>4295878</v>
      </c>
      <c r="P32" s="38">
        <v>11626563</v>
      </c>
      <c r="Q32" s="38">
        <v>6823690</v>
      </c>
      <c r="R32" s="38">
        <v>7505694</v>
      </c>
      <c r="S32" s="38">
        <v>12591254</v>
      </c>
      <c r="T32" s="38">
        <v>1360367</v>
      </c>
      <c r="U32" s="38">
        <v>3805291</v>
      </c>
      <c r="V32" s="38">
        <v>2280424</v>
      </c>
      <c r="W32" s="38">
        <v>2936927</v>
      </c>
      <c r="X32" s="38">
        <v>28622476</v>
      </c>
      <c r="Y32" s="38">
        <v>22823766</v>
      </c>
      <c r="Z32" s="38">
        <v>7912817</v>
      </c>
      <c r="AA32" s="38">
        <v>5094884</v>
      </c>
      <c r="AB32" s="38">
        <v>14986875</v>
      </c>
      <c r="AC32" s="38">
        <v>6840647</v>
      </c>
      <c r="AD32" s="38">
        <v>4227609</v>
      </c>
      <c r="AE32" s="38">
        <v>24810456</v>
      </c>
      <c r="AF32" s="38">
        <v>6999656</v>
      </c>
      <c r="AG32" s="38">
        <v>3481462</v>
      </c>
      <c r="AH32" s="38">
        <v>4600680</v>
      </c>
      <c r="AI32" s="38">
        <v>1629722</v>
      </c>
      <c r="AJ32" s="38">
        <v>1508855</v>
      </c>
      <c r="AK32" s="38">
        <v>2418433</v>
      </c>
      <c r="AL32" s="38">
        <v>7349</v>
      </c>
      <c r="AM32" s="26">
        <v>235873995</v>
      </c>
      <c r="AN32" s="38">
        <v>6460233</v>
      </c>
      <c r="AO32" s="38">
        <v>0</v>
      </c>
      <c r="AP32" s="38">
        <v>104012843</v>
      </c>
      <c r="AQ32" s="38">
        <v>15365704</v>
      </c>
      <c r="AR32" s="38">
        <v>0</v>
      </c>
      <c r="AS32" s="38">
        <v>0</v>
      </c>
      <c r="AT32" s="38">
        <v>31221303</v>
      </c>
      <c r="AU32" s="26">
        <v>157060083</v>
      </c>
      <c r="AV32" s="27">
        <v>392934078</v>
      </c>
      <c r="AW32" s="42">
        <v>355695360</v>
      </c>
      <c r="AX32" s="38">
        <v>37238718</v>
      </c>
      <c r="AY32" s="38">
        <v>0</v>
      </c>
      <c r="AZ32" s="38">
        <v>37238718</v>
      </c>
      <c r="BA32" s="38">
        <v>0</v>
      </c>
      <c r="BB32" s="38">
        <v>0</v>
      </c>
      <c r="BC32" s="27">
        <v>392934078</v>
      </c>
    </row>
    <row r="33" spans="1:55" ht="13.5" customHeight="1">
      <c r="A33" s="72" t="s">
        <v>78</v>
      </c>
      <c r="B33" s="77" t="s">
        <v>18</v>
      </c>
      <c r="C33" s="38">
        <v>232607</v>
      </c>
      <c r="D33" s="38">
        <v>256192</v>
      </c>
      <c r="E33" s="38">
        <v>888725</v>
      </c>
      <c r="F33" s="38">
        <v>524167</v>
      </c>
      <c r="G33" s="38">
        <v>659457</v>
      </c>
      <c r="H33" s="38">
        <v>811324</v>
      </c>
      <c r="I33" s="38">
        <v>1947732</v>
      </c>
      <c r="J33" s="38">
        <f t="shared" si="1"/>
        <v>1947729.4857099205</v>
      </c>
      <c r="K33" s="104">
        <f>'총투입계수(A)'!I33*cases2!$B$6</f>
        <v>5.1715252600922224</v>
      </c>
      <c r="L33" s="104">
        <f t="shared" si="2"/>
        <v>2.5142900794654124</v>
      </c>
      <c r="M33" s="38">
        <v>341697</v>
      </c>
      <c r="N33" s="38">
        <v>2356312</v>
      </c>
      <c r="O33" s="38">
        <v>1409721</v>
      </c>
      <c r="P33" s="38">
        <v>2786694</v>
      </c>
      <c r="Q33" s="38">
        <v>1013169</v>
      </c>
      <c r="R33" s="38">
        <v>895704</v>
      </c>
      <c r="S33" s="38">
        <v>4645446</v>
      </c>
      <c r="T33" s="38">
        <v>216223</v>
      </c>
      <c r="U33" s="38">
        <v>4217670</v>
      </c>
      <c r="V33" s="38">
        <v>1358339</v>
      </c>
      <c r="W33" s="38">
        <v>1595665</v>
      </c>
      <c r="X33" s="38">
        <v>9747820</v>
      </c>
      <c r="Y33" s="38">
        <v>13062215</v>
      </c>
      <c r="Z33" s="38">
        <v>12267348</v>
      </c>
      <c r="AA33" s="38">
        <v>1916900</v>
      </c>
      <c r="AB33" s="38">
        <v>9694849</v>
      </c>
      <c r="AC33" s="38">
        <v>9964464</v>
      </c>
      <c r="AD33" s="38">
        <v>12003595</v>
      </c>
      <c r="AE33" s="38">
        <v>17187438</v>
      </c>
      <c r="AF33" s="38">
        <v>12801755</v>
      </c>
      <c r="AG33" s="38">
        <v>5960451</v>
      </c>
      <c r="AH33" s="38">
        <v>3886241</v>
      </c>
      <c r="AI33" s="38">
        <v>3157354</v>
      </c>
      <c r="AJ33" s="38">
        <v>3473401</v>
      </c>
      <c r="AK33" s="38">
        <v>928798</v>
      </c>
      <c r="AL33" s="38">
        <v>5248</v>
      </c>
      <c r="AM33" s="26">
        <v>142214721</v>
      </c>
      <c r="AN33" s="38">
        <v>8531599</v>
      </c>
      <c r="AO33" s="38">
        <v>0</v>
      </c>
      <c r="AP33" s="38">
        <v>0</v>
      </c>
      <c r="AQ33" s="38">
        <v>0</v>
      </c>
      <c r="AR33" s="38">
        <v>0</v>
      </c>
      <c r="AS33" s="38">
        <v>0</v>
      </c>
      <c r="AT33" s="38">
        <v>15690205</v>
      </c>
      <c r="AU33" s="26">
        <v>24221804</v>
      </c>
      <c r="AV33" s="27">
        <v>166436525</v>
      </c>
      <c r="AW33" s="42">
        <v>144310956</v>
      </c>
      <c r="AX33" s="38">
        <v>22125569</v>
      </c>
      <c r="AY33" s="38">
        <v>0</v>
      </c>
      <c r="AZ33" s="38">
        <v>22125569</v>
      </c>
      <c r="BA33" s="38">
        <v>0</v>
      </c>
      <c r="BB33" s="38">
        <v>0</v>
      </c>
      <c r="BC33" s="27">
        <v>166436525</v>
      </c>
    </row>
    <row r="34" spans="1:55" ht="13.5" customHeight="1">
      <c r="A34" s="72" t="s">
        <v>79</v>
      </c>
      <c r="B34" s="77" t="s">
        <v>80</v>
      </c>
      <c r="C34" s="38">
        <v>109126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f t="shared" si="1"/>
        <v>0</v>
      </c>
      <c r="K34" s="104">
        <f>'총투입계수(A)'!I34*cases2!$B$6</f>
        <v>0</v>
      </c>
      <c r="L34" s="104">
        <f t="shared" si="2"/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658474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8">
        <v>0</v>
      </c>
      <c r="AJ34" s="38">
        <v>0</v>
      </c>
      <c r="AK34" s="38">
        <v>0</v>
      </c>
      <c r="AL34" s="38">
        <v>4326091</v>
      </c>
      <c r="AM34" s="26">
        <v>5093691</v>
      </c>
      <c r="AN34" s="38">
        <v>4098405</v>
      </c>
      <c r="AO34" s="38">
        <v>193826946</v>
      </c>
      <c r="AP34" s="38">
        <v>0</v>
      </c>
      <c r="AQ34" s="38">
        <v>0</v>
      </c>
      <c r="AR34" s="38">
        <v>0</v>
      </c>
      <c r="AS34" s="38">
        <v>0</v>
      </c>
      <c r="AT34" s="38">
        <v>34003</v>
      </c>
      <c r="AU34" s="26">
        <v>197959354</v>
      </c>
      <c r="AV34" s="27">
        <v>203053045</v>
      </c>
      <c r="AW34" s="42">
        <v>202555649</v>
      </c>
      <c r="AX34" s="38">
        <v>497396</v>
      </c>
      <c r="AY34" s="38">
        <v>0</v>
      </c>
      <c r="AZ34" s="38">
        <v>497396</v>
      </c>
      <c r="BA34" s="38">
        <v>0</v>
      </c>
      <c r="BB34" s="38">
        <v>0</v>
      </c>
      <c r="BC34" s="27">
        <v>203053045</v>
      </c>
    </row>
    <row r="35" spans="1:55" ht="13.5" customHeight="1">
      <c r="A35" s="72" t="s">
        <v>81</v>
      </c>
      <c r="B35" s="77" t="s">
        <v>19</v>
      </c>
      <c r="C35" s="38">
        <v>3254</v>
      </c>
      <c r="D35" s="38">
        <v>1120</v>
      </c>
      <c r="E35" s="38">
        <v>41844</v>
      </c>
      <c r="F35" s="38">
        <v>10830</v>
      </c>
      <c r="G35" s="38">
        <v>22754</v>
      </c>
      <c r="H35" s="38">
        <v>31935</v>
      </c>
      <c r="I35" s="38">
        <v>135396</v>
      </c>
      <c r="J35" s="38">
        <f t="shared" si="1"/>
        <v>135395.82521988673</v>
      </c>
      <c r="K35" s="104">
        <f>'총투입계수(A)'!I35*cases2!$B$6</f>
        <v>0.3594970119685082</v>
      </c>
      <c r="L35" s="104">
        <f t="shared" si="2"/>
        <v>0.17478011328011189</v>
      </c>
      <c r="M35" s="38">
        <v>20017</v>
      </c>
      <c r="N35" s="38">
        <v>81546</v>
      </c>
      <c r="O35" s="38">
        <v>107012</v>
      </c>
      <c r="P35" s="38">
        <v>83896</v>
      </c>
      <c r="Q35" s="38">
        <v>77682</v>
      </c>
      <c r="R35" s="38">
        <v>102937</v>
      </c>
      <c r="S35" s="38">
        <v>65511</v>
      </c>
      <c r="T35" s="38">
        <v>4493</v>
      </c>
      <c r="U35" s="38">
        <v>252388</v>
      </c>
      <c r="V35" s="38">
        <v>25845</v>
      </c>
      <c r="W35" s="38">
        <v>25311</v>
      </c>
      <c r="X35" s="38">
        <v>73874</v>
      </c>
      <c r="Y35" s="38">
        <v>864077</v>
      </c>
      <c r="Z35" s="38">
        <v>69496</v>
      </c>
      <c r="AA35" s="38">
        <v>93517</v>
      </c>
      <c r="AB35" s="38">
        <v>149972</v>
      </c>
      <c r="AC35" s="38">
        <v>339905</v>
      </c>
      <c r="AD35" s="38">
        <v>184460</v>
      </c>
      <c r="AE35" s="38">
        <v>421279</v>
      </c>
      <c r="AF35" s="38">
        <v>83397</v>
      </c>
      <c r="AG35" s="38">
        <v>15198</v>
      </c>
      <c r="AH35" s="38">
        <v>76153</v>
      </c>
      <c r="AI35" s="38">
        <v>24040</v>
      </c>
      <c r="AJ35" s="38">
        <v>21001</v>
      </c>
      <c r="AK35" s="38">
        <v>93883</v>
      </c>
      <c r="AL35" s="38">
        <v>676</v>
      </c>
      <c r="AM35" s="26">
        <v>3604699</v>
      </c>
      <c r="AN35" s="38">
        <v>63476835</v>
      </c>
      <c r="AO35" s="38">
        <v>89090202</v>
      </c>
      <c r="AP35" s="38">
        <v>0</v>
      </c>
      <c r="AQ35" s="38">
        <v>0</v>
      </c>
      <c r="AR35" s="38">
        <v>0</v>
      </c>
      <c r="AS35" s="38">
        <v>0</v>
      </c>
      <c r="AT35" s="38">
        <v>319935</v>
      </c>
      <c r="AU35" s="26">
        <v>152886972</v>
      </c>
      <c r="AV35" s="27">
        <v>156491671</v>
      </c>
      <c r="AW35" s="42">
        <v>154338997</v>
      </c>
      <c r="AX35" s="38">
        <v>2152674</v>
      </c>
      <c r="AY35" s="38">
        <v>0</v>
      </c>
      <c r="AZ35" s="38">
        <v>2152674</v>
      </c>
      <c r="BA35" s="38">
        <v>0</v>
      </c>
      <c r="BB35" s="38">
        <v>0</v>
      </c>
      <c r="BC35" s="27">
        <v>156491671</v>
      </c>
    </row>
    <row r="36" spans="1:55" ht="13.5" customHeight="1">
      <c r="A36" s="72" t="s">
        <v>82</v>
      </c>
      <c r="B36" s="77" t="s">
        <v>138</v>
      </c>
      <c r="C36" s="38">
        <v>84351</v>
      </c>
      <c r="D36" s="38">
        <v>14497</v>
      </c>
      <c r="E36" s="38">
        <v>128422</v>
      </c>
      <c r="F36" s="38">
        <v>54243</v>
      </c>
      <c r="G36" s="38">
        <v>69491</v>
      </c>
      <c r="H36" s="38">
        <v>32427</v>
      </c>
      <c r="I36" s="38">
        <v>217065</v>
      </c>
      <c r="J36" s="38">
        <f t="shared" si="1"/>
        <v>217064.71979493272</v>
      </c>
      <c r="K36" s="104">
        <f>'총투입계수(A)'!I36*cases2!$B$6</f>
        <v>0.57634065188738393</v>
      </c>
      <c r="L36" s="104">
        <f t="shared" si="2"/>
        <v>0.2802050672778183</v>
      </c>
      <c r="M36" s="38">
        <v>42381</v>
      </c>
      <c r="N36" s="38">
        <v>112512</v>
      </c>
      <c r="O36" s="38">
        <v>173400</v>
      </c>
      <c r="P36" s="38">
        <v>151296</v>
      </c>
      <c r="Q36" s="38">
        <v>118630</v>
      </c>
      <c r="R36" s="38">
        <v>214771</v>
      </c>
      <c r="S36" s="38">
        <v>276179</v>
      </c>
      <c r="T36" s="38">
        <v>30648</v>
      </c>
      <c r="U36" s="38">
        <v>207648</v>
      </c>
      <c r="V36" s="38">
        <v>36827</v>
      </c>
      <c r="W36" s="38">
        <v>141683</v>
      </c>
      <c r="X36" s="38">
        <v>396109</v>
      </c>
      <c r="Y36" s="38">
        <v>1295505</v>
      </c>
      <c r="Z36" s="38">
        <v>149288</v>
      </c>
      <c r="AA36" s="38">
        <v>490823</v>
      </c>
      <c r="AB36" s="38">
        <v>305107</v>
      </c>
      <c r="AC36" s="38">
        <v>427331</v>
      </c>
      <c r="AD36" s="38">
        <v>224359</v>
      </c>
      <c r="AE36" s="38">
        <v>779138</v>
      </c>
      <c r="AF36" s="38">
        <v>272949</v>
      </c>
      <c r="AG36" s="38">
        <v>74029</v>
      </c>
      <c r="AH36" s="38">
        <v>294134</v>
      </c>
      <c r="AI36" s="38">
        <v>548317</v>
      </c>
      <c r="AJ36" s="38">
        <v>203582</v>
      </c>
      <c r="AK36" s="38">
        <v>166511</v>
      </c>
      <c r="AL36" s="38">
        <v>853</v>
      </c>
      <c r="AM36" s="26">
        <v>7734506</v>
      </c>
      <c r="AN36" s="38">
        <v>74155571</v>
      </c>
      <c r="AO36" s="38">
        <v>136924224</v>
      </c>
      <c r="AP36" s="38">
        <v>0</v>
      </c>
      <c r="AQ36" s="38">
        <v>0</v>
      </c>
      <c r="AR36" s="38">
        <v>0</v>
      </c>
      <c r="AS36" s="38">
        <v>0</v>
      </c>
      <c r="AT36" s="38">
        <v>766926</v>
      </c>
      <c r="AU36" s="26">
        <v>211846721</v>
      </c>
      <c r="AV36" s="27">
        <v>219581227</v>
      </c>
      <c r="AW36" s="42">
        <v>219151203</v>
      </c>
      <c r="AX36" s="38">
        <v>430024</v>
      </c>
      <c r="AY36" s="38">
        <v>0</v>
      </c>
      <c r="AZ36" s="38">
        <v>430024</v>
      </c>
      <c r="BA36" s="38">
        <v>0</v>
      </c>
      <c r="BB36" s="38">
        <v>0</v>
      </c>
      <c r="BC36" s="27">
        <v>219581227</v>
      </c>
    </row>
    <row r="37" spans="1:55" ht="13.5" customHeight="1">
      <c r="A37" s="72" t="s">
        <v>84</v>
      </c>
      <c r="B37" s="77" t="s">
        <v>85</v>
      </c>
      <c r="C37" s="38">
        <v>65624</v>
      </c>
      <c r="D37" s="38">
        <v>36520</v>
      </c>
      <c r="E37" s="38">
        <v>133790</v>
      </c>
      <c r="F37" s="38">
        <v>96597</v>
      </c>
      <c r="G37" s="38">
        <v>97174</v>
      </c>
      <c r="H37" s="38">
        <v>65952</v>
      </c>
      <c r="I37" s="38">
        <v>329184</v>
      </c>
      <c r="J37" s="38">
        <f t="shared" si="1"/>
        <v>329183.57506265468</v>
      </c>
      <c r="K37" s="104">
        <f>'총투입계수(A)'!I37*cases2!$B$6</f>
        <v>0.87403368185058217</v>
      </c>
      <c r="L37" s="104">
        <f t="shared" si="2"/>
        <v>0.4249373453425534</v>
      </c>
      <c r="M37" s="38">
        <v>64236</v>
      </c>
      <c r="N37" s="38">
        <v>260337</v>
      </c>
      <c r="O37" s="38">
        <v>250041</v>
      </c>
      <c r="P37" s="38">
        <v>128017</v>
      </c>
      <c r="Q37" s="38">
        <v>127452</v>
      </c>
      <c r="R37" s="38">
        <v>225010</v>
      </c>
      <c r="S37" s="38">
        <v>112948</v>
      </c>
      <c r="T37" s="38">
        <v>33023</v>
      </c>
      <c r="U37" s="38">
        <v>270400</v>
      </c>
      <c r="V37" s="38">
        <v>55450</v>
      </c>
      <c r="W37" s="38">
        <v>123625</v>
      </c>
      <c r="X37" s="38">
        <v>262368</v>
      </c>
      <c r="Y37" s="38">
        <v>388876</v>
      </c>
      <c r="Z37" s="38">
        <v>637782</v>
      </c>
      <c r="AA37" s="38">
        <v>136211</v>
      </c>
      <c r="AB37" s="38">
        <v>2065257</v>
      </c>
      <c r="AC37" s="38">
        <v>623398</v>
      </c>
      <c r="AD37" s="38">
        <v>269687</v>
      </c>
      <c r="AE37" s="38">
        <v>1931388</v>
      </c>
      <c r="AF37" s="38">
        <v>535378</v>
      </c>
      <c r="AG37" s="38">
        <v>166633</v>
      </c>
      <c r="AH37" s="38">
        <v>1103277</v>
      </c>
      <c r="AI37" s="38">
        <v>340119</v>
      </c>
      <c r="AJ37" s="38">
        <v>2691433</v>
      </c>
      <c r="AK37" s="38">
        <v>369181</v>
      </c>
      <c r="AL37" s="38">
        <v>1604</v>
      </c>
      <c r="AM37" s="26">
        <v>13997972</v>
      </c>
      <c r="AN37" s="38">
        <v>46878460</v>
      </c>
      <c r="AO37" s="38">
        <v>4781313</v>
      </c>
      <c r="AP37" s="38">
        <v>1094342</v>
      </c>
      <c r="AQ37" s="38">
        <v>0</v>
      </c>
      <c r="AR37" s="38">
        <v>0</v>
      </c>
      <c r="AS37" s="38">
        <v>1272</v>
      </c>
      <c r="AT37" s="38">
        <v>2880068</v>
      </c>
      <c r="AU37" s="26">
        <v>55635455</v>
      </c>
      <c r="AV37" s="27">
        <v>69633427</v>
      </c>
      <c r="AW37" s="42">
        <v>64700619</v>
      </c>
      <c r="AX37" s="38">
        <v>4932672</v>
      </c>
      <c r="AY37" s="38">
        <v>136</v>
      </c>
      <c r="AZ37" s="38">
        <v>4932808</v>
      </c>
      <c r="BA37" s="38">
        <v>0</v>
      </c>
      <c r="BB37" s="38">
        <v>0</v>
      </c>
      <c r="BC37" s="27">
        <v>69633427</v>
      </c>
    </row>
    <row r="38" spans="1:55" ht="13.5" customHeight="1">
      <c r="A38" s="72" t="s">
        <v>86</v>
      </c>
      <c r="B38" s="77" t="s">
        <v>87</v>
      </c>
      <c r="C38" s="38">
        <v>99840</v>
      </c>
      <c r="D38" s="38">
        <v>31140</v>
      </c>
      <c r="E38" s="38">
        <v>298331</v>
      </c>
      <c r="F38" s="38">
        <v>102590</v>
      </c>
      <c r="G38" s="38">
        <v>112019</v>
      </c>
      <c r="H38" s="38">
        <v>149736</v>
      </c>
      <c r="I38" s="38">
        <v>383963</v>
      </c>
      <c r="J38" s="38">
        <f t="shared" si="1"/>
        <v>383962.50434948865</v>
      </c>
      <c r="K38" s="104">
        <f>'총투입계수(A)'!I38*cases2!$B$6</f>
        <v>1.0194802742065081</v>
      </c>
      <c r="L38" s="104">
        <f t="shared" si="2"/>
        <v>0.49565051135463106</v>
      </c>
      <c r="M38" s="38">
        <v>138133</v>
      </c>
      <c r="N38" s="38">
        <v>363796</v>
      </c>
      <c r="O38" s="38">
        <v>358040</v>
      </c>
      <c r="P38" s="38">
        <v>430903</v>
      </c>
      <c r="Q38" s="38">
        <v>295152</v>
      </c>
      <c r="R38" s="38">
        <v>412933</v>
      </c>
      <c r="S38" s="38">
        <v>351127</v>
      </c>
      <c r="T38" s="38">
        <v>37455</v>
      </c>
      <c r="U38" s="38">
        <v>625262</v>
      </c>
      <c r="V38" s="38">
        <v>66845</v>
      </c>
      <c r="W38" s="38">
        <v>363837</v>
      </c>
      <c r="X38" s="38">
        <v>595101</v>
      </c>
      <c r="Y38" s="38">
        <v>3558930</v>
      </c>
      <c r="Z38" s="38">
        <v>3307975</v>
      </c>
      <c r="AA38" s="38">
        <v>647051</v>
      </c>
      <c r="AB38" s="38">
        <v>731847</v>
      </c>
      <c r="AC38" s="38">
        <v>931008</v>
      </c>
      <c r="AD38" s="38">
        <v>440411</v>
      </c>
      <c r="AE38" s="38">
        <v>2658213</v>
      </c>
      <c r="AF38" s="38">
        <v>1459730</v>
      </c>
      <c r="AG38" s="38">
        <v>355554</v>
      </c>
      <c r="AH38" s="38">
        <v>1314276</v>
      </c>
      <c r="AI38" s="38">
        <v>438915</v>
      </c>
      <c r="AJ38" s="38">
        <v>521658</v>
      </c>
      <c r="AK38" s="38">
        <v>630784</v>
      </c>
      <c r="AL38" s="38">
        <v>843</v>
      </c>
      <c r="AM38" s="26">
        <v>22213398</v>
      </c>
      <c r="AN38" s="38">
        <v>59295383</v>
      </c>
      <c r="AO38" s="38">
        <v>0</v>
      </c>
      <c r="AP38" s="38">
        <v>0</v>
      </c>
      <c r="AQ38" s="38">
        <v>0</v>
      </c>
      <c r="AR38" s="38">
        <v>0</v>
      </c>
      <c r="AS38" s="38">
        <v>0</v>
      </c>
      <c r="AT38" s="38">
        <v>1747533</v>
      </c>
      <c r="AU38" s="26">
        <v>61042916</v>
      </c>
      <c r="AV38" s="27">
        <v>83256314</v>
      </c>
      <c r="AW38" s="42">
        <v>81600115</v>
      </c>
      <c r="AX38" s="38">
        <v>1656199</v>
      </c>
      <c r="AY38" s="38">
        <v>0</v>
      </c>
      <c r="AZ38" s="38">
        <v>1656199</v>
      </c>
      <c r="BA38" s="38">
        <v>0</v>
      </c>
      <c r="BB38" s="38">
        <v>0</v>
      </c>
      <c r="BC38" s="27">
        <v>83256314</v>
      </c>
    </row>
    <row r="39" spans="1:55" ht="13.5" customHeight="1">
      <c r="A39" s="72" t="s">
        <v>88</v>
      </c>
      <c r="B39" s="77" t="s">
        <v>89</v>
      </c>
      <c r="C39" s="38">
        <v>269414</v>
      </c>
      <c r="D39" s="38">
        <v>15963</v>
      </c>
      <c r="E39" s="38">
        <v>83286</v>
      </c>
      <c r="F39" s="38">
        <v>18483</v>
      </c>
      <c r="G39" s="38">
        <v>75392</v>
      </c>
      <c r="H39" s="38">
        <v>137738</v>
      </c>
      <c r="I39" s="38">
        <v>792652</v>
      </c>
      <c r="J39" s="38">
        <f t="shared" si="1"/>
        <v>792650.97678065568</v>
      </c>
      <c r="K39" s="104">
        <f>'총투입계수(A)'!I39*cases2!$B$6</f>
        <v>2.1046118462204348</v>
      </c>
      <c r="L39" s="104">
        <f t="shared" si="2"/>
        <v>1.0232193443802422</v>
      </c>
      <c r="M39" s="38">
        <v>23147</v>
      </c>
      <c r="N39" s="38">
        <v>42575</v>
      </c>
      <c r="O39" s="38">
        <v>131618</v>
      </c>
      <c r="P39" s="38">
        <v>63701</v>
      </c>
      <c r="Q39" s="38">
        <v>54728</v>
      </c>
      <c r="R39" s="38">
        <v>91336</v>
      </c>
      <c r="S39" s="38">
        <v>23958</v>
      </c>
      <c r="T39" s="38">
        <v>18948</v>
      </c>
      <c r="U39" s="38">
        <v>433554</v>
      </c>
      <c r="V39" s="38">
        <v>142445</v>
      </c>
      <c r="W39" s="38">
        <v>40948</v>
      </c>
      <c r="X39" s="38">
        <v>32265</v>
      </c>
      <c r="Y39" s="38">
        <v>492128</v>
      </c>
      <c r="Z39" s="38">
        <v>55217</v>
      </c>
      <c r="AA39" s="38">
        <v>250478</v>
      </c>
      <c r="AB39" s="38">
        <v>428335</v>
      </c>
      <c r="AC39" s="38">
        <v>58639</v>
      </c>
      <c r="AD39" s="38">
        <v>537173</v>
      </c>
      <c r="AE39" s="38">
        <v>239556</v>
      </c>
      <c r="AF39" s="38">
        <v>179839</v>
      </c>
      <c r="AG39" s="38">
        <v>45902</v>
      </c>
      <c r="AH39" s="38">
        <v>36693</v>
      </c>
      <c r="AI39" s="38">
        <v>373801</v>
      </c>
      <c r="AJ39" s="38">
        <v>101652</v>
      </c>
      <c r="AK39" s="38">
        <v>54194</v>
      </c>
      <c r="AL39" s="38">
        <v>109679</v>
      </c>
      <c r="AM39" s="26">
        <v>5455437</v>
      </c>
      <c r="AN39" s="38">
        <v>-435478</v>
      </c>
      <c r="AO39" s="38">
        <v>0</v>
      </c>
      <c r="AP39" s="38">
        <v>0</v>
      </c>
      <c r="AQ39" s="38">
        <v>0</v>
      </c>
      <c r="AR39" s="38">
        <v>0</v>
      </c>
      <c r="AS39" s="38">
        <v>0</v>
      </c>
      <c r="AT39" s="38">
        <v>0</v>
      </c>
      <c r="AU39" s="26">
        <v>-435478</v>
      </c>
      <c r="AV39" s="27">
        <v>5019959</v>
      </c>
      <c r="AW39" s="42">
        <v>5019959</v>
      </c>
      <c r="AX39" s="38">
        <v>0</v>
      </c>
      <c r="AY39" s="38">
        <v>0</v>
      </c>
      <c r="AZ39" s="38">
        <v>0</v>
      </c>
      <c r="BA39" s="38">
        <v>0</v>
      </c>
      <c r="BB39" s="38">
        <v>0</v>
      </c>
      <c r="BC39" s="27">
        <v>5019959</v>
      </c>
    </row>
    <row r="40" spans="1:55" ht="13.5" customHeight="1">
      <c r="A40" s="91" t="s">
        <v>91</v>
      </c>
      <c r="B40" s="92" t="s">
        <v>20</v>
      </c>
      <c r="C40" s="40">
        <v>39166528</v>
      </c>
      <c r="D40" s="40">
        <v>3169491</v>
      </c>
      <c r="E40" s="40">
        <v>139457033</v>
      </c>
      <c r="F40" s="40">
        <v>57298913</v>
      </c>
      <c r="G40" s="40">
        <v>39700938</v>
      </c>
      <c r="H40" s="40">
        <v>143573392</v>
      </c>
      <c r="I40" s="40">
        <v>285565811</v>
      </c>
      <c r="J40" s="104">
        <f>SUM(J7:J39)</f>
        <v>285565160.99999994</v>
      </c>
      <c r="K40" s="104">
        <f>SUM(K7:K39)</f>
        <v>1019.8985732851982</v>
      </c>
      <c r="L40" s="104">
        <f>SUM(L7:L39)</f>
        <v>650.00000000000011</v>
      </c>
      <c r="M40" s="40">
        <v>37404675</v>
      </c>
      <c r="N40" s="40">
        <v>154477519</v>
      </c>
      <c r="O40" s="40">
        <v>92011168</v>
      </c>
      <c r="P40" s="40">
        <v>221737214</v>
      </c>
      <c r="Q40" s="40">
        <v>135088695</v>
      </c>
      <c r="R40" s="40">
        <v>138660261</v>
      </c>
      <c r="S40" s="40">
        <v>269883451</v>
      </c>
      <c r="T40" s="40">
        <v>21105797</v>
      </c>
      <c r="U40" s="40">
        <v>51124252</v>
      </c>
      <c r="V40" s="40">
        <v>120649253</v>
      </c>
      <c r="W40" s="40">
        <v>23032194</v>
      </c>
      <c r="X40" s="40">
        <v>199251516</v>
      </c>
      <c r="Y40" s="40">
        <v>184102011</v>
      </c>
      <c r="Z40" s="40">
        <v>125178243</v>
      </c>
      <c r="AA40" s="40">
        <v>150662761</v>
      </c>
      <c r="AB40" s="40">
        <v>104063290</v>
      </c>
      <c r="AC40" s="40">
        <v>86678547</v>
      </c>
      <c r="AD40" s="40">
        <v>81055631</v>
      </c>
      <c r="AE40" s="40">
        <v>170997641</v>
      </c>
      <c r="AF40" s="40">
        <v>56091961</v>
      </c>
      <c r="AG40" s="40">
        <v>52243921</v>
      </c>
      <c r="AH40" s="40">
        <v>51016928</v>
      </c>
      <c r="AI40" s="40">
        <v>90583511</v>
      </c>
      <c r="AJ40" s="40">
        <v>28521048</v>
      </c>
      <c r="AK40" s="40">
        <v>44847605</v>
      </c>
      <c r="AL40" s="40">
        <v>5019959</v>
      </c>
      <c r="AM40" s="41">
        <v>3403421158</v>
      </c>
      <c r="AN40" s="40">
        <v>1203106723</v>
      </c>
      <c r="AO40" s="40">
        <v>428148599</v>
      </c>
      <c r="AP40" s="40">
        <v>642719412</v>
      </c>
      <c r="AQ40" s="40">
        <v>114740934</v>
      </c>
      <c r="AR40" s="40">
        <v>8456630</v>
      </c>
      <c r="AS40" s="40">
        <v>2242835</v>
      </c>
      <c r="AT40" s="40">
        <v>999815735</v>
      </c>
      <c r="AU40" s="41">
        <v>3399230868</v>
      </c>
      <c r="AV40" s="93">
        <v>6802652026</v>
      </c>
      <c r="AW40" s="94">
        <v>5786694739</v>
      </c>
      <c r="AX40" s="40">
        <v>990543488</v>
      </c>
      <c r="AY40" s="40">
        <v>25413799</v>
      </c>
      <c r="AZ40" s="40">
        <v>1015957287</v>
      </c>
      <c r="BA40" s="40">
        <v>0</v>
      </c>
      <c r="BB40" s="40">
        <v>0</v>
      </c>
      <c r="BC40" s="93">
        <v>6802652026</v>
      </c>
    </row>
    <row r="41" spans="1:55" ht="13.5" customHeight="1">
      <c r="A41" s="95" t="s">
        <v>92</v>
      </c>
      <c r="B41" s="73" t="s">
        <v>21</v>
      </c>
      <c r="C41" s="38">
        <v>7311007</v>
      </c>
      <c r="D41" s="38">
        <v>763130</v>
      </c>
      <c r="E41" s="38">
        <v>15128140</v>
      </c>
      <c r="F41" s="38">
        <v>6942083</v>
      </c>
      <c r="G41" s="38">
        <v>7714470</v>
      </c>
      <c r="H41" s="38">
        <v>1849380</v>
      </c>
      <c r="I41" s="38">
        <v>33024939</v>
      </c>
      <c r="J41" s="38">
        <f t="shared" si="1"/>
        <v>33024739</v>
      </c>
      <c r="K41" s="104">
        <v>200</v>
      </c>
      <c r="L41" s="104">
        <v>200</v>
      </c>
      <c r="M41" s="38">
        <v>5591739</v>
      </c>
      <c r="N41" s="38">
        <v>12874780</v>
      </c>
      <c r="O41" s="38">
        <v>22094377</v>
      </c>
      <c r="P41" s="38">
        <v>38330264</v>
      </c>
      <c r="Q41" s="38">
        <v>18684449</v>
      </c>
      <c r="R41" s="38">
        <v>28417504</v>
      </c>
      <c r="S41" s="38">
        <v>24629085</v>
      </c>
      <c r="T41" s="38">
        <v>4430442</v>
      </c>
      <c r="U41" s="38">
        <v>30392667</v>
      </c>
      <c r="V41" s="38">
        <v>7229124</v>
      </c>
      <c r="W41" s="38">
        <v>9301644</v>
      </c>
      <c r="X41" s="38">
        <v>108270135</v>
      </c>
      <c r="Y41" s="38">
        <v>105848898</v>
      </c>
      <c r="Z41" s="38">
        <v>45972783</v>
      </c>
      <c r="AA41" s="38">
        <v>37217436</v>
      </c>
      <c r="AB41" s="38">
        <v>48448668</v>
      </c>
      <c r="AC41" s="38">
        <v>52077047</v>
      </c>
      <c r="AD41" s="38">
        <v>23572589</v>
      </c>
      <c r="AE41" s="38">
        <v>119508944</v>
      </c>
      <c r="AF41" s="38">
        <v>53019085</v>
      </c>
      <c r="AG41" s="38">
        <v>89879718</v>
      </c>
      <c r="AH41" s="38">
        <v>84723533</v>
      </c>
      <c r="AI41" s="38">
        <v>91542475</v>
      </c>
      <c r="AJ41" s="38">
        <v>14325783</v>
      </c>
      <c r="AK41" s="38">
        <v>21260262</v>
      </c>
      <c r="AL41" s="38">
        <v>0</v>
      </c>
      <c r="AM41" s="26">
        <v>1170376580</v>
      </c>
      <c r="AN41" s="29"/>
      <c r="AO41" s="29"/>
      <c r="AP41" s="29"/>
      <c r="AQ41" s="29"/>
      <c r="AR41" s="29"/>
      <c r="AS41" s="29"/>
      <c r="AT41" s="29"/>
      <c r="AU41" s="29"/>
      <c r="AV41" s="29"/>
      <c r="AW41" s="30"/>
      <c r="AX41" s="30"/>
      <c r="AY41" s="30"/>
      <c r="AZ41" s="30"/>
      <c r="BA41" s="30"/>
      <c r="BB41" s="30"/>
      <c r="BC41" s="30"/>
    </row>
    <row r="42" spans="1:55" ht="13.5" customHeight="1">
      <c r="A42" s="95" t="s">
        <v>93</v>
      </c>
      <c r="B42" s="73" t="s">
        <v>22</v>
      </c>
      <c r="C42" s="38">
        <v>20790625</v>
      </c>
      <c r="D42" s="38">
        <v>907945</v>
      </c>
      <c r="E42" s="38">
        <v>6246706</v>
      </c>
      <c r="F42" s="38">
        <v>1230526</v>
      </c>
      <c r="G42" s="38">
        <v>5894202</v>
      </c>
      <c r="H42" s="38">
        <v>10160438</v>
      </c>
      <c r="I42" s="38">
        <v>26725452</v>
      </c>
      <c r="J42" s="38">
        <f t="shared" si="1"/>
        <v>26725352</v>
      </c>
      <c r="K42" s="104">
        <v>100</v>
      </c>
      <c r="L42" s="104">
        <v>100</v>
      </c>
      <c r="M42" s="38">
        <v>2061144</v>
      </c>
      <c r="N42" s="38">
        <v>12662963</v>
      </c>
      <c r="O42" s="38">
        <v>15468441</v>
      </c>
      <c r="P42" s="38">
        <v>-2691522</v>
      </c>
      <c r="Q42" s="38">
        <v>509104</v>
      </c>
      <c r="R42" s="38">
        <v>5170759</v>
      </c>
      <c r="S42" s="38">
        <v>8332412</v>
      </c>
      <c r="T42" s="38">
        <v>1502834</v>
      </c>
      <c r="U42" s="38">
        <v>4585557</v>
      </c>
      <c r="V42" s="38">
        <v>-117531</v>
      </c>
      <c r="W42" s="38">
        <v>4067693</v>
      </c>
      <c r="X42" s="38">
        <v>6664903</v>
      </c>
      <c r="Y42" s="38">
        <v>71028220</v>
      </c>
      <c r="Z42" s="38">
        <v>16697450</v>
      </c>
      <c r="AA42" s="38">
        <v>17852378</v>
      </c>
      <c r="AB42" s="38">
        <v>24101295</v>
      </c>
      <c r="AC42" s="38">
        <v>68918948</v>
      </c>
      <c r="AD42" s="38">
        <v>64506524</v>
      </c>
      <c r="AE42" s="38">
        <v>32838525</v>
      </c>
      <c r="AF42" s="38">
        <v>24595921</v>
      </c>
      <c r="AG42" s="38">
        <v>0</v>
      </c>
      <c r="AH42" s="38">
        <v>5753379</v>
      </c>
      <c r="AI42" s="38">
        <v>22888082</v>
      </c>
      <c r="AJ42" s="38">
        <v>8967271</v>
      </c>
      <c r="AK42" s="38">
        <v>7606932</v>
      </c>
      <c r="AL42" s="38">
        <v>0</v>
      </c>
      <c r="AM42" s="26">
        <v>495927576</v>
      </c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</row>
    <row r="43" spans="1:55" ht="13.5" customHeight="1">
      <c r="A43" s="95" t="s">
        <v>94</v>
      </c>
      <c r="B43" s="73" t="s">
        <v>23</v>
      </c>
      <c r="C43" s="38">
        <v>6826925</v>
      </c>
      <c r="D43" s="38">
        <v>492826</v>
      </c>
      <c r="E43" s="38">
        <v>7184340</v>
      </c>
      <c r="F43" s="38">
        <v>2607552</v>
      </c>
      <c r="G43" s="38">
        <v>1594645</v>
      </c>
      <c r="H43" s="38">
        <v>3179003</v>
      </c>
      <c r="I43" s="38">
        <v>26775718</v>
      </c>
      <c r="J43" s="38">
        <f t="shared" si="1"/>
        <v>26775668</v>
      </c>
      <c r="K43" s="104">
        <v>50</v>
      </c>
      <c r="L43" s="104">
        <v>50</v>
      </c>
      <c r="M43" s="38">
        <v>4858806</v>
      </c>
      <c r="N43" s="38">
        <v>10685788</v>
      </c>
      <c r="O43" s="38">
        <v>5299685</v>
      </c>
      <c r="P43" s="38">
        <v>59980214</v>
      </c>
      <c r="Q43" s="38">
        <v>16524948</v>
      </c>
      <c r="R43" s="38">
        <v>11389415</v>
      </c>
      <c r="S43" s="38">
        <v>27105345</v>
      </c>
      <c r="T43" s="38">
        <v>906543</v>
      </c>
      <c r="U43" s="38">
        <v>10150938</v>
      </c>
      <c r="V43" s="38">
        <v>20286757</v>
      </c>
      <c r="W43" s="38">
        <v>5288608</v>
      </c>
      <c r="X43" s="38">
        <v>6766250</v>
      </c>
      <c r="Y43" s="38">
        <v>18105570</v>
      </c>
      <c r="Z43" s="38">
        <v>36332814</v>
      </c>
      <c r="AA43" s="38">
        <v>5371797</v>
      </c>
      <c r="AB43" s="38">
        <v>35261097</v>
      </c>
      <c r="AC43" s="38">
        <v>12984833</v>
      </c>
      <c r="AD43" s="38">
        <v>69279349</v>
      </c>
      <c r="AE43" s="38">
        <v>28647148</v>
      </c>
      <c r="AF43" s="38">
        <v>7189528</v>
      </c>
      <c r="AG43" s="38">
        <v>60428502</v>
      </c>
      <c r="AH43" s="38">
        <v>12635621</v>
      </c>
      <c r="AI43" s="38">
        <v>13918268</v>
      </c>
      <c r="AJ43" s="38">
        <v>6439170</v>
      </c>
      <c r="AK43" s="38">
        <v>4683288</v>
      </c>
      <c r="AL43" s="38">
        <v>0</v>
      </c>
      <c r="AM43" s="26">
        <v>539181291</v>
      </c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</row>
    <row r="44" spans="1:55" ht="13.5" customHeight="1">
      <c r="A44" s="95" t="s">
        <v>95</v>
      </c>
      <c r="B44" s="73" t="s">
        <v>39</v>
      </c>
      <c r="C44" s="38">
        <v>-27016</v>
      </c>
      <c r="D44" s="38">
        <v>-6795</v>
      </c>
      <c r="E44" s="38">
        <v>14378726</v>
      </c>
      <c r="F44" s="38">
        <v>2081072</v>
      </c>
      <c r="G44" s="38">
        <v>1110431</v>
      </c>
      <c r="H44" s="38">
        <v>17800753</v>
      </c>
      <c r="I44" s="38">
        <v>4534298</v>
      </c>
      <c r="J44" s="38">
        <f t="shared" si="1"/>
        <v>4534298</v>
      </c>
      <c r="K44" s="104">
        <v>0</v>
      </c>
      <c r="L44" s="104">
        <v>0</v>
      </c>
      <c r="M44" s="38">
        <v>911160</v>
      </c>
      <c r="N44" s="38">
        <v>1198062</v>
      </c>
      <c r="O44" s="38">
        <v>1425139</v>
      </c>
      <c r="P44" s="38">
        <v>2455564</v>
      </c>
      <c r="Q44" s="38">
        <v>1946311</v>
      </c>
      <c r="R44" s="38">
        <v>1845434</v>
      </c>
      <c r="S44" s="38">
        <v>7185378</v>
      </c>
      <c r="T44" s="38">
        <v>997653</v>
      </c>
      <c r="U44" s="38">
        <v>548886</v>
      </c>
      <c r="V44" s="38">
        <v>3631197</v>
      </c>
      <c r="W44" s="38">
        <v>108881</v>
      </c>
      <c r="X44" s="38">
        <v>21285495</v>
      </c>
      <c r="Y44" s="38">
        <v>17403973</v>
      </c>
      <c r="Z44" s="38">
        <v>-2966019</v>
      </c>
      <c r="AA44" s="38">
        <v>12631432</v>
      </c>
      <c r="AB44" s="38">
        <v>6428467</v>
      </c>
      <c r="AC44" s="38">
        <v>10283809</v>
      </c>
      <c r="AD44" s="38">
        <v>33396994</v>
      </c>
      <c r="AE44" s="38">
        <v>3703102</v>
      </c>
      <c r="AF44" s="38">
        <v>3414461</v>
      </c>
      <c r="AG44" s="38">
        <v>3508</v>
      </c>
      <c r="AH44" s="38">
        <v>209536</v>
      </c>
      <c r="AI44" s="38">
        <v>218867</v>
      </c>
      <c r="AJ44" s="38">
        <v>6447347</v>
      </c>
      <c r="AK44" s="38">
        <v>3202028</v>
      </c>
      <c r="AL44" s="38">
        <v>0</v>
      </c>
      <c r="AM44" s="26">
        <v>177788134</v>
      </c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</row>
    <row r="45" spans="1:55" ht="13.5" customHeight="1">
      <c r="A45" s="96" t="s">
        <v>96</v>
      </c>
      <c r="B45" s="97" t="s">
        <v>24</v>
      </c>
      <c r="C45" s="28">
        <v>34901541</v>
      </c>
      <c r="D45" s="28">
        <v>2157106</v>
      </c>
      <c r="E45" s="28">
        <v>42937912</v>
      </c>
      <c r="F45" s="28">
        <v>12861233</v>
      </c>
      <c r="G45" s="28">
        <v>16313748</v>
      </c>
      <c r="H45" s="28">
        <v>32989574</v>
      </c>
      <c r="I45" s="28">
        <v>91060407</v>
      </c>
      <c r="J45" s="106">
        <f>SUM(J41:J44)</f>
        <v>91060057</v>
      </c>
      <c r="K45" s="104">
        <f>SUM(K41:K44)</f>
        <v>350</v>
      </c>
      <c r="L45" s="104">
        <f>SUM(L41:L44)</f>
        <v>350</v>
      </c>
      <c r="M45" s="28">
        <v>13422849</v>
      </c>
      <c r="N45" s="28">
        <v>37421593</v>
      </c>
      <c r="O45" s="28">
        <v>44287642</v>
      </c>
      <c r="P45" s="28">
        <v>98074520</v>
      </c>
      <c r="Q45" s="28">
        <v>37664812</v>
      </c>
      <c r="R45" s="28">
        <v>46823112</v>
      </c>
      <c r="S45" s="28">
        <v>67252220</v>
      </c>
      <c r="T45" s="28">
        <v>7837472</v>
      </c>
      <c r="U45" s="28">
        <v>45678048</v>
      </c>
      <c r="V45" s="28">
        <v>31029547</v>
      </c>
      <c r="W45" s="28">
        <v>18766826</v>
      </c>
      <c r="X45" s="28">
        <v>142986783</v>
      </c>
      <c r="Y45" s="28">
        <v>212386661</v>
      </c>
      <c r="Z45" s="28">
        <v>96037028</v>
      </c>
      <c r="AA45" s="28">
        <v>73073043</v>
      </c>
      <c r="AB45" s="28">
        <v>114239527</v>
      </c>
      <c r="AC45" s="28">
        <v>144264637</v>
      </c>
      <c r="AD45" s="28">
        <v>190755456</v>
      </c>
      <c r="AE45" s="28">
        <v>184697719</v>
      </c>
      <c r="AF45" s="28">
        <v>88218995</v>
      </c>
      <c r="AG45" s="28">
        <v>150311728</v>
      </c>
      <c r="AH45" s="28">
        <v>103322069</v>
      </c>
      <c r="AI45" s="28">
        <v>128567692</v>
      </c>
      <c r="AJ45" s="28">
        <v>36179571</v>
      </c>
      <c r="AK45" s="28">
        <v>36752510</v>
      </c>
      <c r="AL45" s="28">
        <v>0</v>
      </c>
      <c r="AM45" s="98">
        <v>2383273581</v>
      </c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</row>
    <row r="46" spans="1:55" ht="13.5" customHeight="1">
      <c r="A46" s="96" t="s">
        <v>97</v>
      </c>
      <c r="B46" s="97" t="s">
        <v>41</v>
      </c>
      <c r="C46" s="28">
        <v>74068069</v>
      </c>
      <c r="D46" s="28">
        <v>5326597</v>
      </c>
      <c r="E46" s="28">
        <v>182394945</v>
      </c>
      <c r="F46" s="28">
        <v>70160146</v>
      </c>
      <c r="G46" s="28">
        <v>56014686</v>
      </c>
      <c r="H46" s="28">
        <v>176562966</v>
      </c>
      <c r="I46" s="28">
        <v>376626218</v>
      </c>
      <c r="J46" s="38">
        <f t="shared" si="1"/>
        <v>376625218</v>
      </c>
      <c r="K46" s="104">
        <f>K40+K45</f>
        <v>1369.8985732851982</v>
      </c>
      <c r="L46" s="104">
        <f>L40+L45</f>
        <v>1000.0000000000001</v>
      </c>
      <c r="M46" s="28">
        <v>50827524</v>
      </c>
      <c r="N46" s="28">
        <v>191899112</v>
      </c>
      <c r="O46" s="28">
        <v>136298810</v>
      </c>
      <c r="P46" s="28">
        <v>319811734</v>
      </c>
      <c r="Q46" s="28">
        <v>172753507</v>
      </c>
      <c r="R46" s="28">
        <v>185483373</v>
      </c>
      <c r="S46" s="28">
        <v>337135671</v>
      </c>
      <c r="T46" s="28">
        <v>28943269</v>
      </c>
      <c r="U46" s="28">
        <v>96802300</v>
      </c>
      <c r="V46" s="28">
        <v>151678800</v>
      </c>
      <c r="W46" s="28">
        <v>41799020</v>
      </c>
      <c r="X46" s="28">
        <v>342238299</v>
      </c>
      <c r="Y46" s="28">
        <v>396488672</v>
      </c>
      <c r="Z46" s="28">
        <v>221215271</v>
      </c>
      <c r="AA46" s="28">
        <v>223735804</v>
      </c>
      <c r="AB46" s="28">
        <v>218302817</v>
      </c>
      <c r="AC46" s="28">
        <v>230943184</v>
      </c>
      <c r="AD46" s="28">
        <v>271811087</v>
      </c>
      <c r="AE46" s="28">
        <v>355695360</v>
      </c>
      <c r="AF46" s="28">
        <v>144310956</v>
      </c>
      <c r="AG46" s="28">
        <v>202555649</v>
      </c>
      <c r="AH46" s="28">
        <v>154338997</v>
      </c>
      <c r="AI46" s="28">
        <v>219151203</v>
      </c>
      <c r="AJ46" s="28">
        <v>64700619</v>
      </c>
      <c r="AK46" s="28">
        <v>81600115</v>
      </c>
      <c r="AL46" s="28">
        <v>5019959</v>
      </c>
      <c r="AM46" s="98">
        <v>5786694739</v>
      </c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</row>
    <row r="47" spans="1:55" ht="13.5" customHeight="1">
      <c r="A47" s="71" t="s">
        <v>115</v>
      </c>
      <c r="B47" s="71" t="s">
        <v>120</v>
      </c>
      <c r="C47" s="9">
        <v>26208380</v>
      </c>
      <c r="D47" s="9">
        <v>2042881.5999817885</v>
      </c>
      <c r="E47" s="9">
        <v>2065050.0000000002</v>
      </c>
      <c r="F47" s="9">
        <v>4524770</v>
      </c>
      <c r="G47" s="9">
        <v>2843750</v>
      </c>
      <c r="H47" s="9">
        <v>36281629.567042917</v>
      </c>
      <c r="I47" s="9">
        <v>84687500</v>
      </c>
      <c r="J47" s="9"/>
      <c r="K47" s="105"/>
      <c r="L47" s="105"/>
      <c r="M47" s="9">
        <v>35157346.032126516</v>
      </c>
      <c r="N47" s="9">
        <v>102537669.99999999</v>
      </c>
      <c r="O47" s="9">
        <v>368275.38266030874</v>
      </c>
      <c r="P47" s="9">
        <v>3829179.9788428782</v>
      </c>
      <c r="Q47" s="9">
        <v>123929.88878779384</v>
      </c>
      <c r="R47" s="9">
        <v>6926969.9999999991</v>
      </c>
      <c r="S47" s="9">
        <v>2362190</v>
      </c>
      <c r="T47" s="9">
        <v>3595100.7620893372</v>
      </c>
      <c r="U47" s="9">
        <v>1648577.9554931689</v>
      </c>
      <c r="V47" s="9">
        <v>229332018.83297527</v>
      </c>
      <c r="W47" s="9">
        <v>18172000</v>
      </c>
      <c r="X47" s="9">
        <v>1813020</v>
      </c>
      <c r="Y47" s="9">
        <v>1433144.6534375222</v>
      </c>
      <c r="Z47" s="9">
        <v>101159784.67216459</v>
      </c>
      <c r="AA47" s="9">
        <v>2253064.9636808308</v>
      </c>
      <c r="AB47" s="9">
        <v>101446.17045806264</v>
      </c>
      <c r="AC47" s="9">
        <v>132046.07240723589</v>
      </c>
      <c r="AD47" s="9">
        <v>236199.082283881</v>
      </c>
      <c r="AE47" s="9">
        <v>1892727.0370475345</v>
      </c>
      <c r="AF47" s="9">
        <v>157565.48930203504</v>
      </c>
      <c r="AG47" s="9">
        <v>6015859.8701946959</v>
      </c>
      <c r="AH47" s="9">
        <v>2189527.7906128233</v>
      </c>
      <c r="AI47" s="9">
        <v>1803187.2434054068</v>
      </c>
      <c r="AJ47" s="9">
        <v>373361.73616845929</v>
      </c>
      <c r="AK47" s="9">
        <v>422069.89100151369</v>
      </c>
      <c r="AL47" s="9">
        <v>0</v>
      </c>
      <c r="AM47" s="9">
        <f>SUM(C47:AL47)</f>
        <v>682690224.67216456</v>
      </c>
    </row>
    <row r="51" spans="1:53" ht="13.5" customHeight="1">
      <c r="A51" s="190" t="s">
        <v>25</v>
      </c>
      <c r="B51" s="191"/>
      <c r="C51" s="79" t="s">
        <v>44</v>
      </c>
      <c r="D51" s="79" t="s">
        <v>45</v>
      </c>
      <c r="E51" s="79" t="s">
        <v>46</v>
      </c>
      <c r="F51" s="80" t="s">
        <v>47</v>
      </c>
      <c r="G51" s="81" t="s">
        <v>48</v>
      </c>
      <c r="H51" s="81" t="s">
        <v>49</v>
      </c>
      <c r="I51" s="81" t="s">
        <v>50</v>
      </c>
      <c r="K51" s="81" t="s">
        <v>51</v>
      </c>
      <c r="L51" s="81" t="s">
        <v>52</v>
      </c>
      <c r="M51" s="81" t="s">
        <v>53</v>
      </c>
      <c r="N51" s="81" t="s">
        <v>55</v>
      </c>
      <c r="O51" s="81" t="s">
        <v>57</v>
      </c>
      <c r="P51" s="81" t="s">
        <v>59</v>
      </c>
      <c r="Q51" s="81" t="s">
        <v>60</v>
      </c>
      <c r="R51" s="81" t="s">
        <v>61</v>
      </c>
      <c r="S51" s="81" t="s">
        <v>63</v>
      </c>
      <c r="T51" s="81" t="s">
        <v>65</v>
      </c>
      <c r="U51" s="81" t="s">
        <v>66</v>
      </c>
      <c r="V51" s="81" t="s">
        <v>68</v>
      </c>
      <c r="W51" s="81" t="s">
        <v>69</v>
      </c>
      <c r="X51" s="81" t="s">
        <v>71</v>
      </c>
      <c r="Y51" s="81" t="s">
        <v>72</v>
      </c>
      <c r="Z51" s="81" t="s">
        <v>73</v>
      </c>
      <c r="AA51" s="81" t="s">
        <v>74</v>
      </c>
      <c r="AB51" s="81" t="s">
        <v>75</v>
      </c>
      <c r="AC51" s="81" t="s">
        <v>77</v>
      </c>
      <c r="AD51" s="81" t="s">
        <v>78</v>
      </c>
      <c r="AE51" s="81" t="s">
        <v>79</v>
      </c>
      <c r="AF51" s="81" t="s">
        <v>81</v>
      </c>
      <c r="AG51" s="81" t="s">
        <v>82</v>
      </c>
      <c r="AH51" s="81" t="s">
        <v>84</v>
      </c>
      <c r="AI51" s="81" t="s">
        <v>86</v>
      </c>
      <c r="AJ51" s="81" t="s">
        <v>88</v>
      </c>
      <c r="AK51" s="82" t="s">
        <v>98</v>
      </c>
      <c r="AL51" s="81" t="s">
        <v>99</v>
      </c>
      <c r="AM51" s="81" t="s">
        <v>100</v>
      </c>
      <c r="AN51" s="81" t="s">
        <v>101</v>
      </c>
      <c r="AO51" s="81" t="s">
        <v>102</v>
      </c>
      <c r="AP51" s="81" t="s">
        <v>103</v>
      </c>
      <c r="AQ51" s="81" t="s">
        <v>104</v>
      </c>
      <c r="AR51" s="81" t="s">
        <v>105</v>
      </c>
      <c r="AS51" s="82" t="s">
        <v>106</v>
      </c>
      <c r="AT51" s="83" t="s">
        <v>107</v>
      </c>
      <c r="AU51" s="84" t="s">
        <v>108</v>
      </c>
      <c r="AV51" s="81" t="s">
        <v>109</v>
      </c>
      <c r="AW51" s="81" t="s">
        <v>110</v>
      </c>
      <c r="AX51" s="81" t="s">
        <v>111</v>
      </c>
      <c r="AY51" s="81" t="s">
        <v>112</v>
      </c>
      <c r="AZ51" s="81" t="s">
        <v>113</v>
      </c>
      <c r="BA51" s="83" t="s">
        <v>114</v>
      </c>
    </row>
    <row r="52" spans="1:53" ht="13.5" customHeight="1">
      <c r="A52" s="192"/>
      <c r="B52" s="193"/>
      <c r="C52" s="85" t="s">
        <v>2</v>
      </c>
      <c r="D52" s="85" t="s">
        <v>3</v>
      </c>
      <c r="E52" s="85" t="s">
        <v>4</v>
      </c>
      <c r="F52" s="85" t="s">
        <v>5</v>
      </c>
      <c r="G52" s="85" t="s">
        <v>6</v>
      </c>
      <c r="H52" s="85" t="s">
        <v>7</v>
      </c>
      <c r="I52" s="85" t="s">
        <v>8</v>
      </c>
      <c r="J52" s="73" t="s">
        <v>144</v>
      </c>
      <c r="K52" s="85" t="s">
        <v>9</v>
      </c>
      <c r="L52" s="85" t="s">
        <v>10</v>
      </c>
      <c r="M52" s="85" t="s">
        <v>54</v>
      </c>
      <c r="N52" s="85" t="s">
        <v>56</v>
      </c>
      <c r="O52" s="85" t="s">
        <v>58</v>
      </c>
      <c r="P52" s="85" t="s">
        <v>11</v>
      </c>
      <c r="Q52" s="85" t="s">
        <v>12</v>
      </c>
      <c r="R52" s="85" t="s">
        <v>135</v>
      </c>
      <c r="S52" s="85" t="s">
        <v>64</v>
      </c>
      <c r="T52" s="85" t="s">
        <v>13</v>
      </c>
      <c r="U52" s="85" t="s">
        <v>67</v>
      </c>
      <c r="V52" s="85" t="s">
        <v>14</v>
      </c>
      <c r="W52" s="85" t="s">
        <v>70</v>
      </c>
      <c r="X52" s="85" t="s">
        <v>42</v>
      </c>
      <c r="Y52" s="85" t="s">
        <v>15</v>
      </c>
      <c r="Z52" s="85" t="s">
        <v>136</v>
      </c>
      <c r="AA52" s="85" t="s">
        <v>137</v>
      </c>
      <c r="AB52" s="85" t="s">
        <v>76</v>
      </c>
      <c r="AC52" s="85" t="s">
        <v>43</v>
      </c>
      <c r="AD52" s="85" t="s">
        <v>18</v>
      </c>
      <c r="AE52" s="85" t="s">
        <v>80</v>
      </c>
      <c r="AF52" s="85" t="s">
        <v>19</v>
      </c>
      <c r="AG52" s="85" t="s">
        <v>138</v>
      </c>
      <c r="AH52" s="85" t="s">
        <v>85</v>
      </c>
      <c r="AI52" s="85" t="s">
        <v>87</v>
      </c>
      <c r="AJ52" s="85" t="s">
        <v>89</v>
      </c>
      <c r="AK52" s="86" t="s">
        <v>26</v>
      </c>
      <c r="AL52" s="87" t="s">
        <v>38</v>
      </c>
      <c r="AM52" s="85" t="s">
        <v>27</v>
      </c>
      <c r="AN52" s="85" t="s">
        <v>28</v>
      </c>
      <c r="AO52" s="85" t="s">
        <v>29</v>
      </c>
      <c r="AP52" s="85" t="s">
        <v>30</v>
      </c>
      <c r="AQ52" s="85" t="s">
        <v>31</v>
      </c>
      <c r="AR52" s="85" t="s">
        <v>32</v>
      </c>
      <c r="AS52" s="86" t="s">
        <v>33</v>
      </c>
      <c r="AT52" s="88" t="s">
        <v>34</v>
      </c>
      <c r="AU52" s="89" t="s">
        <v>0</v>
      </c>
      <c r="AV52" s="85" t="s">
        <v>1</v>
      </c>
      <c r="AW52" s="85" t="s">
        <v>35</v>
      </c>
      <c r="AX52" s="87" t="s">
        <v>90</v>
      </c>
      <c r="AY52" s="85" t="s">
        <v>36</v>
      </c>
      <c r="AZ52" s="85" t="s">
        <v>37</v>
      </c>
      <c r="BA52" s="90" t="s">
        <v>40</v>
      </c>
    </row>
    <row r="53" spans="1:53" ht="13.5" customHeight="1">
      <c r="A53" s="72" t="s">
        <v>44</v>
      </c>
      <c r="B53" s="77" t="s">
        <v>2</v>
      </c>
      <c r="C53" s="38">
        <v>4256311</v>
      </c>
      <c r="D53" s="38">
        <v>3473</v>
      </c>
      <c r="E53" s="38">
        <v>44787107</v>
      </c>
      <c r="F53" s="38">
        <v>264444</v>
      </c>
      <c r="G53" s="38">
        <v>661849</v>
      </c>
      <c r="H53" s="38">
        <v>4203</v>
      </c>
      <c r="I53" s="38">
        <f>J7</f>
        <v>1326557.2875702954</v>
      </c>
      <c r="J53" s="73">
        <f>L7</f>
        <v>1.7124297046644805</v>
      </c>
      <c r="K53" s="38">
        <v>3614</v>
      </c>
      <c r="L53" s="38">
        <v>6461</v>
      </c>
      <c r="M53" s="38">
        <v>7383</v>
      </c>
      <c r="N53" s="38">
        <v>7338</v>
      </c>
      <c r="O53" s="38">
        <v>2082</v>
      </c>
      <c r="P53" s="38">
        <v>6967</v>
      </c>
      <c r="Q53" s="38">
        <v>2432</v>
      </c>
      <c r="R53" s="38">
        <v>14838</v>
      </c>
      <c r="S53" s="38">
        <v>542287</v>
      </c>
      <c r="T53" s="38">
        <v>3751</v>
      </c>
      <c r="U53" s="38">
        <v>12739</v>
      </c>
      <c r="V53" s="38">
        <v>403188</v>
      </c>
      <c r="W53" s="38">
        <v>103863</v>
      </c>
      <c r="X53" s="38">
        <v>13100</v>
      </c>
      <c r="Y53" s="38">
        <v>13418941</v>
      </c>
      <c r="Z53" s="38">
        <v>14422</v>
      </c>
      <c r="AA53" s="38">
        <v>11833</v>
      </c>
      <c r="AB53" s="38">
        <v>7087</v>
      </c>
      <c r="AC53" s="38">
        <v>72958</v>
      </c>
      <c r="AD53" s="38">
        <v>20574</v>
      </c>
      <c r="AE53" s="38">
        <v>333297</v>
      </c>
      <c r="AF53" s="38">
        <v>716622</v>
      </c>
      <c r="AG53" s="38">
        <v>904970</v>
      </c>
      <c r="AH53" s="38">
        <v>72052</v>
      </c>
      <c r="AI53" s="38">
        <v>72609</v>
      </c>
      <c r="AJ53" s="38">
        <v>3405</v>
      </c>
      <c r="AK53" s="26">
        <v>68082759</v>
      </c>
      <c r="AL53" s="38">
        <v>20977330</v>
      </c>
      <c r="AM53" s="38">
        <v>0</v>
      </c>
      <c r="AN53" s="38">
        <v>1005548</v>
      </c>
      <c r="AO53" s="38">
        <v>708</v>
      </c>
      <c r="AP53" s="38">
        <v>-196797</v>
      </c>
      <c r="AQ53" s="38">
        <v>0</v>
      </c>
      <c r="AR53" s="38">
        <v>1148216</v>
      </c>
      <c r="AS53" s="26">
        <v>22935005</v>
      </c>
      <c r="AT53" s="27">
        <v>91017764</v>
      </c>
      <c r="AU53" s="42">
        <v>74068069</v>
      </c>
      <c r="AV53" s="38">
        <v>16390900</v>
      </c>
      <c r="AW53" s="38">
        <v>558795</v>
      </c>
      <c r="AX53" s="38">
        <v>16949695</v>
      </c>
      <c r="AY53" s="38">
        <v>0</v>
      </c>
      <c r="AZ53" s="38">
        <v>0</v>
      </c>
      <c r="BA53" s="27">
        <v>91017764</v>
      </c>
    </row>
    <row r="54" spans="1:53" ht="13.5" customHeight="1">
      <c r="A54" s="72" t="s">
        <v>45</v>
      </c>
      <c r="B54" s="77" t="s">
        <v>3</v>
      </c>
      <c r="C54" s="38">
        <v>2055</v>
      </c>
      <c r="D54" s="38">
        <v>2999</v>
      </c>
      <c r="E54" s="38">
        <v>48702</v>
      </c>
      <c r="F54" s="38">
        <v>3592</v>
      </c>
      <c r="G54" s="38">
        <v>35023</v>
      </c>
      <c r="H54" s="38">
        <v>108067377</v>
      </c>
      <c r="I54" s="38">
        <f t="shared" ref="I54:I92" si="3">J8</f>
        <v>8679195.796177268</v>
      </c>
      <c r="J54" s="73">
        <f t="shared" ref="J54:J92" si="4">L8</f>
        <v>11.203822732145264</v>
      </c>
      <c r="K54" s="38">
        <v>5208178</v>
      </c>
      <c r="L54" s="38">
        <v>33232955</v>
      </c>
      <c r="M54" s="38">
        <v>40482</v>
      </c>
      <c r="N54" s="38">
        <v>37583</v>
      </c>
      <c r="O54" s="38">
        <v>8789</v>
      </c>
      <c r="P54" s="38">
        <v>16354</v>
      </c>
      <c r="Q54" s="38">
        <v>5802</v>
      </c>
      <c r="R54" s="38">
        <v>3785</v>
      </c>
      <c r="S54" s="38">
        <v>76904</v>
      </c>
      <c r="T54" s="38">
        <v>68593275</v>
      </c>
      <c r="U54" s="38">
        <v>53587</v>
      </c>
      <c r="V54" s="38">
        <v>278992</v>
      </c>
      <c r="W54" s="38">
        <v>0</v>
      </c>
      <c r="X54" s="38">
        <v>0</v>
      </c>
      <c r="Y54" s="38">
        <v>15310</v>
      </c>
      <c r="Z54" s="38">
        <v>0</v>
      </c>
      <c r="AA54" s="38">
        <v>0</v>
      </c>
      <c r="AB54" s="38">
        <v>141</v>
      </c>
      <c r="AC54" s="38">
        <v>17244</v>
      </c>
      <c r="AD54" s="38">
        <v>13414</v>
      </c>
      <c r="AE54" s="38">
        <v>16766</v>
      </c>
      <c r="AF54" s="38">
        <v>1073</v>
      </c>
      <c r="AG54" s="38">
        <v>16722</v>
      </c>
      <c r="AH54" s="38">
        <v>2420</v>
      </c>
      <c r="AI54" s="38">
        <v>2421</v>
      </c>
      <c r="AJ54" s="38">
        <v>34</v>
      </c>
      <c r="AK54" s="26">
        <v>224481186</v>
      </c>
      <c r="AL54" s="38">
        <v>20312</v>
      </c>
      <c r="AM54" s="38">
        <v>0</v>
      </c>
      <c r="AN54" s="38">
        <v>0</v>
      </c>
      <c r="AO54" s="38">
        <v>0</v>
      </c>
      <c r="AP54" s="38">
        <v>-1208060</v>
      </c>
      <c r="AQ54" s="38">
        <v>0</v>
      </c>
      <c r="AR54" s="38">
        <v>164539</v>
      </c>
      <c r="AS54" s="26">
        <v>-1023209</v>
      </c>
      <c r="AT54" s="27">
        <v>223457977</v>
      </c>
      <c r="AU54" s="42">
        <v>5326597</v>
      </c>
      <c r="AV54" s="38">
        <v>213114501</v>
      </c>
      <c r="AW54" s="38">
        <v>5016879</v>
      </c>
      <c r="AX54" s="38">
        <v>218131380</v>
      </c>
      <c r="AY54" s="38">
        <v>0</v>
      </c>
      <c r="AZ54" s="38">
        <v>0</v>
      </c>
      <c r="BA54" s="27">
        <v>223457977</v>
      </c>
    </row>
    <row r="55" spans="1:53" ht="13.5" customHeight="1">
      <c r="A55" s="72" t="s">
        <v>46</v>
      </c>
      <c r="B55" s="77" t="s">
        <v>4</v>
      </c>
      <c r="C55" s="38">
        <v>13490896</v>
      </c>
      <c r="D55" s="38">
        <v>16188</v>
      </c>
      <c r="E55" s="38">
        <v>37267582</v>
      </c>
      <c r="F55" s="38">
        <v>1267831</v>
      </c>
      <c r="G55" s="38">
        <v>87762</v>
      </c>
      <c r="H55" s="38">
        <v>29747</v>
      </c>
      <c r="I55" s="38">
        <f t="shared" si="3"/>
        <v>1948951.484132464</v>
      </c>
      <c r="J55" s="73">
        <f t="shared" si="4"/>
        <v>2.5158675359517804</v>
      </c>
      <c r="K55" s="38">
        <v>32354</v>
      </c>
      <c r="L55" s="38">
        <v>78230</v>
      </c>
      <c r="M55" s="38">
        <v>106035</v>
      </c>
      <c r="N55" s="38">
        <v>28458</v>
      </c>
      <c r="O55" s="38">
        <v>23722</v>
      </c>
      <c r="P55" s="38">
        <v>80841</v>
      </c>
      <c r="Q55" s="38">
        <v>-15144</v>
      </c>
      <c r="R55" s="38">
        <v>10976</v>
      </c>
      <c r="S55" s="38">
        <v>642150</v>
      </c>
      <c r="T55" s="38">
        <v>1667262</v>
      </c>
      <c r="U55" s="38">
        <v>75594</v>
      </c>
      <c r="V55" s="38">
        <v>29879</v>
      </c>
      <c r="W55" s="38">
        <v>2137267</v>
      </c>
      <c r="X55" s="38">
        <v>237559</v>
      </c>
      <c r="Y55" s="38">
        <v>62634265</v>
      </c>
      <c r="Z55" s="38">
        <v>321736</v>
      </c>
      <c r="AA55" s="38">
        <v>166231</v>
      </c>
      <c r="AB55" s="38">
        <v>20690</v>
      </c>
      <c r="AC55" s="38">
        <v>1680284</v>
      </c>
      <c r="AD55" s="38">
        <v>730059</v>
      </c>
      <c r="AE55" s="38">
        <v>1178818</v>
      </c>
      <c r="AF55" s="38">
        <v>3190985</v>
      </c>
      <c r="AG55" s="38">
        <v>3326884</v>
      </c>
      <c r="AH55" s="38">
        <v>2766615</v>
      </c>
      <c r="AI55" s="38">
        <v>1099495</v>
      </c>
      <c r="AJ55" s="38">
        <v>54767</v>
      </c>
      <c r="AK55" s="26">
        <v>136414972</v>
      </c>
      <c r="AL55" s="38">
        <v>79996863</v>
      </c>
      <c r="AM55" s="38">
        <v>0</v>
      </c>
      <c r="AN55" s="38">
        <v>0</v>
      </c>
      <c r="AO55" s="38">
        <v>0</v>
      </c>
      <c r="AP55" s="38">
        <v>-312055</v>
      </c>
      <c r="AQ55" s="38">
        <v>0</v>
      </c>
      <c r="AR55" s="38">
        <v>13216832</v>
      </c>
      <c r="AS55" s="26">
        <v>92901640</v>
      </c>
      <c r="AT55" s="27">
        <v>229316612</v>
      </c>
      <c r="AU55" s="42">
        <v>182394945</v>
      </c>
      <c r="AV55" s="38">
        <v>42877588</v>
      </c>
      <c r="AW55" s="38">
        <v>4044079</v>
      </c>
      <c r="AX55" s="38">
        <v>46921667</v>
      </c>
      <c r="AY55" s="38">
        <v>0</v>
      </c>
      <c r="AZ55" s="38">
        <v>0</v>
      </c>
      <c r="BA55" s="27">
        <v>229316612</v>
      </c>
    </row>
    <row r="56" spans="1:53" ht="13.5" customHeight="1">
      <c r="A56" s="72" t="s">
        <v>47</v>
      </c>
      <c r="B56" s="77" t="s">
        <v>5</v>
      </c>
      <c r="C56" s="38">
        <v>690669</v>
      </c>
      <c r="D56" s="38">
        <v>18761</v>
      </c>
      <c r="E56" s="38">
        <v>152583</v>
      </c>
      <c r="F56" s="38">
        <v>21941986</v>
      </c>
      <c r="G56" s="38">
        <v>610886</v>
      </c>
      <c r="H56" s="38">
        <v>100196</v>
      </c>
      <c r="I56" s="38">
        <f t="shared" si="3"/>
        <v>1674117.8389104314</v>
      </c>
      <c r="J56" s="73">
        <f t="shared" si="4"/>
        <v>2.1610895687058775</v>
      </c>
      <c r="K56" s="38">
        <v>167311</v>
      </c>
      <c r="L56" s="38">
        <v>181532</v>
      </c>
      <c r="M56" s="38">
        <v>398657</v>
      </c>
      <c r="N56" s="38">
        <v>396591</v>
      </c>
      <c r="O56" s="38">
        <v>175855</v>
      </c>
      <c r="P56" s="38">
        <v>148702</v>
      </c>
      <c r="Q56" s="38">
        <v>1234584</v>
      </c>
      <c r="R56" s="38">
        <v>1704538</v>
      </c>
      <c r="S56" s="38">
        <v>2681541</v>
      </c>
      <c r="T56" s="38">
        <v>46471</v>
      </c>
      <c r="U56" s="38">
        <v>260471</v>
      </c>
      <c r="V56" s="38">
        <v>183767</v>
      </c>
      <c r="W56" s="38">
        <v>1793848</v>
      </c>
      <c r="X56" s="38">
        <v>1945331</v>
      </c>
      <c r="Y56" s="38">
        <v>1580633</v>
      </c>
      <c r="Z56" s="38">
        <v>250655</v>
      </c>
      <c r="AA56" s="38">
        <v>107312</v>
      </c>
      <c r="AB56" s="38">
        <v>175614</v>
      </c>
      <c r="AC56" s="38">
        <v>554339</v>
      </c>
      <c r="AD56" s="38">
        <v>1178436</v>
      </c>
      <c r="AE56" s="38">
        <v>689348</v>
      </c>
      <c r="AF56" s="38">
        <v>212655</v>
      </c>
      <c r="AG56" s="38">
        <v>919104</v>
      </c>
      <c r="AH56" s="38">
        <v>556457</v>
      </c>
      <c r="AI56" s="38">
        <v>863694</v>
      </c>
      <c r="AJ56" s="38">
        <v>17447</v>
      </c>
      <c r="AK56" s="26">
        <v>43614094</v>
      </c>
      <c r="AL56" s="38">
        <v>44692848</v>
      </c>
      <c r="AM56" s="38">
        <v>0</v>
      </c>
      <c r="AN56" s="38">
        <v>99316</v>
      </c>
      <c r="AO56" s="38">
        <v>49995</v>
      </c>
      <c r="AP56" s="38">
        <v>238347</v>
      </c>
      <c r="AQ56" s="38">
        <v>0</v>
      </c>
      <c r="AR56" s="38">
        <v>20177963</v>
      </c>
      <c r="AS56" s="26">
        <v>65258469</v>
      </c>
      <c r="AT56" s="27">
        <v>108872563</v>
      </c>
      <c r="AU56" s="42">
        <v>70160146</v>
      </c>
      <c r="AV56" s="38">
        <v>35870234</v>
      </c>
      <c r="AW56" s="38">
        <v>2842183</v>
      </c>
      <c r="AX56" s="38">
        <v>38712417</v>
      </c>
      <c r="AY56" s="38">
        <v>0</v>
      </c>
      <c r="AZ56" s="38">
        <v>0</v>
      </c>
      <c r="BA56" s="27">
        <v>108872563</v>
      </c>
    </row>
    <row r="57" spans="1:53" ht="13.5" customHeight="1">
      <c r="A57" s="72" t="s">
        <v>48</v>
      </c>
      <c r="B57" s="77" t="s">
        <v>6</v>
      </c>
      <c r="C57" s="38">
        <v>866017</v>
      </c>
      <c r="D57" s="38">
        <v>11121</v>
      </c>
      <c r="E57" s="38">
        <v>3715108</v>
      </c>
      <c r="F57" s="38">
        <v>415547</v>
      </c>
      <c r="G57" s="38">
        <v>17244503</v>
      </c>
      <c r="H57" s="38">
        <v>134210</v>
      </c>
      <c r="I57" s="38">
        <f t="shared" si="3"/>
        <v>1997372.4216267189</v>
      </c>
      <c r="J57" s="73">
        <f t="shared" si="4"/>
        <v>2.5783732810634259</v>
      </c>
      <c r="K57" s="38">
        <v>426375</v>
      </c>
      <c r="L57" s="38">
        <v>243459</v>
      </c>
      <c r="M57" s="38">
        <v>1061021</v>
      </c>
      <c r="N57" s="38">
        <v>295987</v>
      </c>
      <c r="O57" s="38">
        <v>571350</v>
      </c>
      <c r="P57" s="38">
        <v>353312</v>
      </c>
      <c r="Q57" s="38">
        <v>120280</v>
      </c>
      <c r="R57" s="38">
        <v>1901882</v>
      </c>
      <c r="S57" s="38">
        <v>408384</v>
      </c>
      <c r="T57" s="38">
        <v>792752</v>
      </c>
      <c r="U57" s="38">
        <v>-6870</v>
      </c>
      <c r="V57" s="38">
        <v>6049727</v>
      </c>
      <c r="W57" s="38">
        <v>4278205</v>
      </c>
      <c r="X57" s="38">
        <v>1476571</v>
      </c>
      <c r="Y57" s="38">
        <v>2137353</v>
      </c>
      <c r="Z57" s="38">
        <v>2006707</v>
      </c>
      <c r="AA57" s="38">
        <v>1592341</v>
      </c>
      <c r="AB57" s="38">
        <v>227894</v>
      </c>
      <c r="AC57" s="38">
        <v>5069685</v>
      </c>
      <c r="AD57" s="38">
        <v>631911</v>
      </c>
      <c r="AE57" s="38">
        <v>913133</v>
      </c>
      <c r="AF57" s="38">
        <v>960333</v>
      </c>
      <c r="AG57" s="38">
        <v>1291250</v>
      </c>
      <c r="AH57" s="38">
        <v>308585</v>
      </c>
      <c r="AI57" s="38">
        <v>831503</v>
      </c>
      <c r="AJ57" s="38">
        <v>9881</v>
      </c>
      <c r="AK57" s="26">
        <v>58336892</v>
      </c>
      <c r="AL57" s="38">
        <v>1990283</v>
      </c>
      <c r="AM57" s="38">
        <v>0</v>
      </c>
      <c r="AN57" s="38">
        <v>0</v>
      </c>
      <c r="AO57" s="38">
        <v>0</v>
      </c>
      <c r="AP57" s="38">
        <v>247498</v>
      </c>
      <c r="AQ57" s="38">
        <v>0</v>
      </c>
      <c r="AR57" s="38">
        <v>4630328</v>
      </c>
      <c r="AS57" s="26">
        <v>6868109</v>
      </c>
      <c r="AT57" s="27">
        <v>65205001</v>
      </c>
      <c r="AU57" s="42">
        <v>56014686</v>
      </c>
      <c r="AV57" s="38">
        <v>8967588</v>
      </c>
      <c r="AW57" s="38">
        <v>222727</v>
      </c>
      <c r="AX57" s="38">
        <v>9190315</v>
      </c>
      <c r="AY57" s="38">
        <v>0</v>
      </c>
      <c r="AZ57" s="38">
        <v>0</v>
      </c>
      <c r="BA57" s="27">
        <v>65205001</v>
      </c>
    </row>
    <row r="58" spans="1:53" ht="13.5" customHeight="1">
      <c r="A58" s="72" t="s">
        <v>49</v>
      </c>
      <c r="B58" s="77" t="s">
        <v>7</v>
      </c>
      <c r="C58" s="38">
        <v>1553720</v>
      </c>
      <c r="D58" s="38">
        <v>127562</v>
      </c>
      <c r="E58" s="38">
        <v>368746</v>
      </c>
      <c r="F58" s="38">
        <v>182073</v>
      </c>
      <c r="G58" s="38">
        <v>306192</v>
      </c>
      <c r="H58" s="38">
        <v>8485744</v>
      </c>
      <c r="I58" s="38">
        <f t="shared" si="3"/>
        <v>43895190.336463094</v>
      </c>
      <c r="J58" s="73">
        <f t="shared" si="4"/>
        <v>56.663536907430746</v>
      </c>
      <c r="K58" s="38">
        <v>2409467</v>
      </c>
      <c r="L58" s="38">
        <v>721361</v>
      </c>
      <c r="M58" s="38">
        <v>527953</v>
      </c>
      <c r="N58" s="38">
        <v>108255</v>
      </c>
      <c r="O58" s="38">
        <v>512348</v>
      </c>
      <c r="P58" s="38">
        <v>337756</v>
      </c>
      <c r="Q58" s="38">
        <v>472866</v>
      </c>
      <c r="R58" s="38">
        <v>45874</v>
      </c>
      <c r="S58" s="38">
        <v>1013019</v>
      </c>
      <c r="T58" s="38">
        <v>4111860</v>
      </c>
      <c r="U58" s="38">
        <v>690962</v>
      </c>
      <c r="V58" s="38">
        <v>4687554</v>
      </c>
      <c r="W58" s="38">
        <v>9503880</v>
      </c>
      <c r="X58" s="38">
        <v>24628899</v>
      </c>
      <c r="Y58" s="38">
        <v>3477744</v>
      </c>
      <c r="Z58" s="38">
        <v>404311</v>
      </c>
      <c r="AA58" s="38">
        <v>146259</v>
      </c>
      <c r="AB58" s="38">
        <v>918026</v>
      </c>
      <c r="AC58" s="38">
        <v>4380042</v>
      </c>
      <c r="AD58" s="38">
        <v>918546</v>
      </c>
      <c r="AE58" s="38">
        <v>3355174</v>
      </c>
      <c r="AF58" s="38">
        <v>2599025</v>
      </c>
      <c r="AG58" s="38">
        <v>1564184</v>
      </c>
      <c r="AH58" s="38">
        <v>353775</v>
      </c>
      <c r="AI58" s="38">
        <v>1093548</v>
      </c>
      <c r="AJ58" s="38">
        <v>22523</v>
      </c>
      <c r="AK58" s="26">
        <v>123924495</v>
      </c>
      <c r="AL58" s="38">
        <v>20010215</v>
      </c>
      <c r="AM58" s="38">
        <v>0</v>
      </c>
      <c r="AN58" s="38">
        <v>0</v>
      </c>
      <c r="AO58" s="38">
        <v>0</v>
      </c>
      <c r="AP58" s="38">
        <v>685143</v>
      </c>
      <c r="AQ58" s="38">
        <v>0</v>
      </c>
      <c r="AR58" s="38">
        <v>77066088</v>
      </c>
      <c r="AS58" s="26">
        <v>97761446</v>
      </c>
      <c r="AT58" s="27">
        <v>221685941</v>
      </c>
      <c r="AU58" s="42">
        <v>176562966</v>
      </c>
      <c r="AV58" s="38">
        <v>44170694</v>
      </c>
      <c r="AW58" s="38">
        <v>952281</v>
      </c>
      <c r="AX58" s="38">
        <v>45122975</v>
      </c>
      <c r="AY58" s="38">
        <v>0</v>
      </c>
      <c r="AZ58" s="38">
        <v>0</v>
      </c>
      <c r="BA58" s="27">
        <v>221685941</v>
      </c>
    </row>
    <row r="59" spans="1:53" ht="13.5" customHeight="1">
      <c r="A59" s="72" t="s">
        <v>50</v>
      </c>
      <c r="B59" s="77" t="s">
        <v>8</v>
      </c>
      <c r="C59" s="38">
        <v>5335756</v>
      </c>
      <c r="D59" s="38">
        <v>219298</v>
      </c>
      <c r="E59" s="38">
        <v>4720446</v>
      </c>
      <c r="F59" s="38">
        <v>6819729</v>
      </c>
      <c r="G59" s="38">
        <v>3803170</v>
      </c>
      <c r="H59" s="38">
        <v>3537795</v>
      </c>
      <c r="I59" s="109">
        <f t="shared" si="3"/>
        <v>129362670.00798173</v>
      </c>
      <c r="J59" s="100">
        <f t="shared" si="4"/>
        <v>166.99201826565519</v>
      </c>
      <c r="K59" s="38">
        <v>2543485</v>
      </c>
      <c r="L59" s="38">
        <v>3102895</v>
      </c>
      <c r="M59" s="38">
        <v>9009090</v>
      </c>
      <c r="N59" s="38">
        <v>20188581</v>
      </c>
      <c r="O59" s="38">
        <v>17404850</v>
      </c>
      <c r="P59" s="38">
        <v>5570490</v>
      </c>
      <c r="Q59" s="38">
        <v>21793941</v>
      </c>
      <c r="R59" s="38">
        <v>2998181</v>
      </c>
      <c r="S59" s="38">
        <v>1983061</v>
      </c>
      <c r="T59" s="38">
        <v>2417171</v>
      </c>
      <c r="U59" s="38">
        <v>2164833</v>
      </c>
      <c r="V59" s="38">
        <v>12222208</v>
      </c>
      <c r="W59" s="38">
        <v>5288979</v>
      </c>
      <c r="X59" s="38">
        <v>1560674</v>
      </c>
      <c r="Y59" s="38">
        <v>4858345</v>
      </c>
      <c r="Z59" s="38">
        <v>812354</v>
      </c>
      <c r="AA59" s="38">
        <v>121602</v>
      </c>
      <c r="AB59" s="38">
        <v>277568</v>
      </c>
      <c r="AC59" s="38">
        <v>10278206</v>
      </c>
      <c r="AD59" s="38">
        <v>3992188</v>
      </c>
      <c r="AE59" s="38">
        <v>1614775</v>
      </c>
      <c r="AF59" s="38">
        <v>1270286</v>
      </c>
      <c r="AG59" s="38">
        <v>32946431</v>
      </c>
      <c r="AH59" s="38">
        <v>758170</v>
      </c>
      <c r="AI59" s="38">
        <v>3728706</v>
      </c>
      <c r="AJ59" s="38">
        <v>31956</v>
      </c>
      <c r="AK59" s="26">
        <v>322738057</v>
      </c>
      <c r="AL59" s="38">
        <v>16391860</v>
      </c>
      <c r="AM59" s="38">
        <v>0</v>
      </c>
      <c r="AN59" s="38">
        <v>0</v>
      </c>
      <c r="AO59" s="38">
        <v>0</v>
      </c>
      <c r="AP59" s="38">
        <v>2035871</v>
      </c>
      <c r="AQ59" s="38">
        <v>0</v>
      </c>
      <c r="AR59" s="38">
        <v>141937188</v>
      </c>
      <c r="AS59" s="26">
        <v>160364919</v>
      </c>
      <c r="AT59" s="27">
        <v>483102976</v>
      </c>
      <c r="AU59" s="42">
        <v>376626218</v>
      </c>
      <c r="AV59" s="38">
        <v>104125789</v>
      </c>
      <c r="AW59" s="38">
        <v>2350969</v>
      </c>
      <c r="AX59" s="38">
        <v>106476758</v>
      </c>
      <c r="AY59" s="38">
        <v>0</v>
      </c>
      <c r="AZ59" s="38">
        <v>0</v>
      </c>
      <c r="BA59" s="27">
        <v>483102976</v>
      </c>
    </row>
    <row r="60" spans="1:53" ht="13.5" customHeight="1">
      <c r="A60" s="72" t="s">
        <v>51</v>
      </c>
      <c r="B60" s="77" t="s">
        <v>9</v>
      </c>
      <c r="C60" s="38">
        <v>36617</v>
      </c>
      <c r="D60" s="38">
        <v>8918</v>
      </c>
      <c r="E60" s="38">
        <v>905256</v>
      </c>
      <c r="F60" s="38">
        <v>41584</v>
      </c>
      <c r="G60" s="38">
        <v>59557</v>
      </c>
      <c r="H60" s="38">
        <v>153911</v>
      </c>
      <c r="I60" s="109">
        <f t="shared" si="3"/>
        <v>1621302.9070883072</v>
      </c>
      <c r="J60" s="100">
        <f t="shared" si="4"/>
        <v>2.0929116928240998</v>
      </c>
      <c r="K60" s="38">
        <v>7622593</v>
      </c>
      <c r="L60" s="38">
        <v>3265699</v>
      </c>
      <c r="M60" s="38">
        <v>612991</v>
      </c>
      <c r="N60" s="38">
        <v>1987167</v>
      </c>
      <c r="O60" s="38">
        <v>1806637</v>
      </c>
      <c r="P60" s="38">
        <v>511290</v>
      </c>
      <c r="Q60" s="38">
        <v>2300485</v>
      </c>
      <c r="R60" s="38">
        <v>257029</v>
      </c>
      <c r="S60" s="38">
        <v>203556</v>
      </c>
      <c r="T60" s="38">
        <v>-152005</v>
      </c>
      <c r="U60" s="38">
        <v>187593</v>
      </c>
      <c r="V60" s="38">
        <v>29763706</v>
      </c>
      <c r="W60" s="38">
        <v>119481</v>
      </c>
      <c r="X60" s="38">
        <v>76745</v>
      </c>
      <c r="Y60" s="38">
        <v>742147</v>
      </c>
      <c r="Z60" s="38">
        <v>13661</v>
      </c>
      <c r="AA60" s="38">
        <v>3896</v>
      </c>
      <c r="AB60" s="38">
        <v>84202</v>
      </c>
      <c r="AC60" s="38">
        <v>340999</v>
      </c>
      <c r="AD60" s="38">
        <v>226159</v>
      </c>
      <c r="AE60" s="38">
        <v>331107</v>
      </c>
      <c r="AF60" s="38">
        <v>142765</v>
      </c>
      <c r="AG60" s="38">
        <v>71373</v>
      </c>
      <c r="AH60" s="38">
        <v>141732</v>
      </c>
      <c r="AI60" s="38">
        <v>56146</v>
      </c>
      <c r="AJ60" s="38">
        <v>4568</v>
      </c>
      <c r="AK60" s="26">
        <v>53548870</v>
      </c>
      <c r="AL60" s="38">
        <v>181273</v>
      </c>
      <c r="AM60" s="38">
        <v>0</v>
      </c>
      <c r="AN60" s="38">
        <v>0</v>
      </c>
      <c r="AO60" s="38">
        <v>0</v>
      </c>
      <c r="AP60" s="38">
        <v>187387</v>
      </c>
      <c r="AQ60" s="38">
        <v>0</v>
      </c>
      <c r="AR60" s="38">
        <v>4781328</v>
      </c>
      <c r="AS60" s="26">
        <v>5149988</v>
      </c>
      <c r="AT60" s="27">
        <v>58698858</v>
      </c>
      <c r="AU60" s="42">
        <v>50827524</v>
      </c>
      <c r="AV60" s="38">
        <v>7600425</v>
      </c>
      <c r="AW60" s="38">
        <v>270909</v>
      </c>
      <c r="AX60" s="38">
        <v>7871334</v>
      </c>
      <c r="AY60" s="38">
        <v>0</v>
      </c>
      <c r="AZ60" s="38">
        <v>0</v>
      </c>
      <c r="BA60" s="27">
        <v>58698858</v>
      </c>
    </row>
    <row r="61" spans="1:53" ht="13.5" customHeight="1">
      <c r="A61" s="72" t="s">
        <v>52</v>
      </c>
      <c r="B61" s="77" t="s">
        <v>10</v>
      </c>
      <c r="C61" s="38">
        <v>91111</v>
      </c>
      <c r="D61" s="38">
        <v>8196</v>
      </c>
      <c r="E61" s="38">
        <v>26239</v>
      </c>
      <c r="F61" s="38">
        <v>2697</v>
      </c>
      <c r="G61" s="38">
        <v>45720</v>
      </c>
      <c r="H61" s="38">
        <v>562107</v>
      </c>
      <c r="I61" s="38">
        <f t="shared" si="3"/>
        <v>3388707.6255763299</v>
      </c>
      <c r="J61" s="73">
        <f t="shared" si="4"/>
        <v>4.3744236700764771</v>
      </c>
      <c r="K61" s="38">
        <v>903550</v>
      </c>
      <c r="L61" s="38">
        <v>62564642</v>
      </c>
      <c r="M61" s="38">
        <v>26175296</v>
      </c>
      <c r="N61" s="38">
        <v>6708120</v>
      </c>
      <c r="O61" s="38">
        <v>18310513</v>
      </c>
      <c r="P61" s="38">
        <v>13493061</v>
      </c>
      <c r="Q61" s="38">
        <v>26369922</v>
      </c>
      <c r="R61" s="38">
        <v>1765850</v>
      </c>
      <c r="S61" s="38">
        <v>1069388</v>
      </c>
      <c r="T61" s="38">
        <v>413958</v>
      </c>
      <c r="U61" s="38">
        <v>170727</v>
      </c>
      <c r="V61" s="38">
        <v>25701309</v>
      </c>
      <c r="W61" s="38">
        <v>-713</v>
      </c>
      <c r="X61" s="38">
        <v>132195</v>
      </c>
      <c r="Y61" s="38">
        <v>27276</v>
      </c>
      <c r="Z61" s="38">
        <v>-21236</v>
      </c>
      <c r="AA61" s="38">
        <v>-69</v>
      </c>
      <c r="AB61" s="38">
        <v>-534</v>
      </c>
      <c r="AC61" s="38">
        <v>435186</v>
      </c>
      <c r="AD61" s="38">
        <v>1189</v>
      </c>
      <c r="AE61" s="38">
        <v>3109</v>
      </c>
      <c r="AF61" s="38">
        <v>-19677</v>
      </c>
      <c r="AG61" s="38">
        <v>366089</v>
      </c>
      <c r="AH61" s="38">
        <v>-4842</v>
      </c>
      <c r="AI61" s="38">
        <v>-29801</v>
      </c>
      <c r="AJ61" s="38">
        <v>9136</v>
      </c>
      <c r="AK61" s="26">
        <v>188668426</v>
      </c>
      <c r="AL61" s="38">
        <v>-731720</v>
      </c>
      <c r="AM61" s="38">
        <v>0</v>
      </c>
      <c r="AN61" s="38">
        <v>-3134918</v>
      </c>
      <c r="AO61" s="38">
        <v>-83309</v>
      </c>
      <c r="AP61" s="38">
        <v>118320</v>
      </c>
      <c r="AQ61" s="38">
        <v>163833</v>
      </c>
      <c r="AR61" s="38">
        <v>59288136</v>
      </c>
      <c r="AS61" s="26">
        <v>55620342</v>
      </c>
      <c r="AT61" s="27">
        <v>244288768</v>
      </c>
      <c r="AU61" s="42">
        <v>191899112</v>
      </c>
      <c r="AV61" s="38">
        <v>52115731</v>
      </c>
      <c r="AW61" s="38">
        <v>273925</v>
      </c>
      <c r="AX61" s="38">
        <v>52389656</v>
      </c>
      <c r="AY61" s="38">
        <v>0</v>
      </c>
      <c r="AZ61" s="38">
        <v>0</v>
      </c>
      <c r="BA61" s="27">
        <v>244288768</v>
      </c>
    </row>
    <row r="62" spans="1:53" ht="13.5" customHeight="1">
      <c r="A62" s="72" t="s">
        <v>53</v>
      </c>
      <c r="B62" s="77" t="s">
        <v>54</v>
      </c>
      <c r="C62" s="38">
        <v>77940</v>
      </c>
      <c r="D62" s="38">
        <v>117861</v>
      </c>
      <c r="E62" s="38">
        <v>2371080</v>
      </c>
      <c r="F62" s="38">
        <v>248175</v>
      </c>
      <c r="G62" s="38">
        <v>609407</v>
      </c>
      <c r="H62" s="38">
        <v>2900135</v>
      </c>
      <c r="I62" s="38">
        <f t="shared" si="3"/>
        <v>2673617.5486736591</v>
      </c>
      <c r="J62" s="73">
        <f t="shared" si="4"/>
        <v>3.4513263408674275</v>
      </c>
      <c r="K62" s="38">
        <v>667203</v>
      </c>
      <c r="L62" s="38">
        <v>1573739</v>
      </c>
      <c r="M62" s="38">
        <v>20929812</v>
      </c>
      <c r="N62" s="38">
        <v>2705363</v>
      </c>
      <c r="O62" s="38">
        <v>5224767</v>
      </c>
      <c r="P62" s="38">
        <v>19768968</v>
      </c>
      <c r="Q62" s="38">
        <v>18833190</v>
      </c>
      <c r="R62" s="38">
        <v>1490999</v>
      </c>
      <c r="S62" s="38">
        <v>1288202</v>
      </c>
      <c r="T62" s="38">
        <v>869133</v>
      </c>
      <c r="U62" s="38">
        <v>548021</v>
      </c>
      <c r="V62" s="38">
        <v>25476298</v>
      </c>
      <c r="W62" s="38">
        <v>1147254</v>
      </c>
      <c r="X62" s="38">
        <v>1077767</v>
      </c>
      <c r="Y62" s="38">
        <v>1741987</v>
      </c>
      <c r="Z62" s="38">
        <v>251710</v>
      </c>
      <c r="AA62" s="38">
        <v>141513</v>
      </c>
      <c r="AB62" s="38">
        <v>200822</v>
      </c>
      <c r="AC62" s="38">
        <v>1247365</v>
      </c>
      <c r="AD62" s="38">
        <v>1101443</v>
      </c>
      <c r="AE62" s="38">
        <v>1742143</v>
      </c>
      <c r="AF62" s="38">
        <v>474147</v>
      </c>
      <c r="AG62" s="38">
        <v>355816</v>
      </c>
      <c r="AH62" s="38">
        <v>255624</v>
      </c>
      <c r="AI62" s="38">
        <v>953188</v>
      </c>
      <c r="AJ62" s="38">
        <v>15794</v>
      </c>
      <c r="AK62" s="26">
        <v>119080487</v>
      </c>
      <c r="AL62" s="38">
        <v>1887217</v>
      </c>
      <c r="AM62" s="38">
        <v>0</v>
      </c>
      <c r="AN62" s="38">
        <v>6527800</v>
      </c>
      <c r="AO62" s="38">
        <v>2370938</v>
      </c>
      <c r="AP62" s="38">
        <v>174696</v>
      </c>
      <c r="AQ62" s="38">
        <v>0</v>
      </c>
      <c r="AR62" s="38">
        <v>17376557</v>
      </c>
      <c r="AS62" s="26">
        <v>28337208</v>
      </c>
      <c r="AT62" s="27">
        <v>147417695</v>
      </c>
      <c r="AU62" s="42">
        <v>136298810</v>
      </c>
      <c r="AV62" s="38">
        <v>10772512</v>
      </c>
      <c r="AW62" s="38">
        <v>346373</v>
      </c>
      <c r="AX62" s="38">
        <v>11118885</v>
      </c>
      <c r="AY62" s="38">
        <v>0</v>
      </c>
      <c r="AZ62" s="38">
        <v>0</v>
      </c>
      <c r="BA62" s="27">
        <v>147417695</v>
      </c>
    </row>
    <row r="63" spans="1:53" ht="13.5" customHeight="1">
      <c r="A63" s="72" t="s">
        <v>55</v>
      </c>
      <c r="B63" s="77" t="s">
        <v>56</v>
      </c>
      <c r="C63" s="38">
        <v>181673</v>
      </c>
      <c r="D63" s="38">
        <v>13321</v>
      </c>
      <c r="E63" s="38">
        <v>179518</v>
      </c>
      <c r="F63" s="38">
        <v>41611</v>
      </c>
      <c r="G63" s="38">
        <v>229681</v>
      </c>
      <c r="H63" s="38">
        <v>822010</v>
      </c>
      <c r="I63" s="38">
        <f t="shared" si="3"/>
        <v>730148.05746458587</v>
      </c>
      <c r="J63" s="73">
        <f t="shared" si="4"/>
        <v>0.94253541412863318</v>
      </c>
      <c r="K63" s="38">
        <v>94215</v>
      </c>
      <c r="L63" s="38">
        <v>473834</v>
      </c>
      <c r="M63" s="38">
        <v>1129751</v>
      </c>
      <c r="N63" s="38">
        <v>111091806</v>
      </c>
      <c r="O63" s="38">
        <v>14357957</v>
      </c>
      <c r="P63" s="38">
        <v>8884238</v>
      </c>
      <c r="Q63" s="38">
        <v>11446256</v>
      </c>
      <c r="R63" s="38">
        <v>150345</v>
      </c>
      <c r="S63" s="38">
        <v>2381775</v>
      </c>
      <c r="T63" s="38">
        <v>1173725</v>
      </c>
      <c r="U63" s="38">
        <v>449580</v>
      </c>
      <c r="V63" s="38">
        <v>1185699</v>
      </c>
      <c r="W63" s="38">
        <v>3095517</v>
      </c>
      <c r="X63" s="38">
        <v>872734</v>
      </c>
      <c r="Y63" s="38">
        <v>1525087</v>
      </c>
      <c r="Z63" s="38">
        <v>10007238</v>
      </c>
      <c r="AA63" s="38">
        <v>604376</v>
      </c>
      <c r="AB63" s="38">
        <v>631498</v>
      </c>
      <c r="AC63" s="38">
        <v>13688295</v>
      </c>
      <c r="AD63" s="38">
        <v>1617811</v>
      </c>
      <c r="AE63" s="38">
        <v>1101557</v>
      </c>
      <c r="AF63" s="38">
        <v>1963339</v>
      </c>
      <c r="AG63" s="38">
        <v>4361931</v>
      </c>
      <c r="AH63" s="38">
        <v>523425</v>
      </c>
      <c r="AI63" s="38">
        <v>2615814</v>
      </c>
      <c r="AJ63" s="38">
        <v>51754</v>
      </c>
      <c r="AK63" s="26">
        <v>197677520</v>
      </c>
      <c r="AL63" s="38">
        <v>25091325</v>
      </c>
      <c r="AM63" s="38">
        <v>0</v>
      </c>
      <c r="AN63" s="38">
        <v>30155221</v>
      </c>
      <c r="AO63" s="38">
        <v>4162495</v>
      </c>
      <c r="AP63" s="38">
        <v>486519</v>
      </c>
      <c r="AQ63" s="38">
        <v>0</v>
      </c>
      <c r="AR63" s="38">
        <v>191050500</v>
      </c>
      <c r="AS63" s="26">
        <v>250946060</v>
      </c>
      <c r="AT63" s="27">
        <v>448623580</v>
      </c>
      <c r="AU63" s="42">
        <v>319811734</v>
      </c>
      <c r="AV63" s="38">
        <v>126034694</v>
      </c>
      <c r="AW63" s="38">
        <v>2777152</v>
      </c>
      <c r="AX63" s="38">
        <v>128811846</v>
      </c>
      <c r="AY63" s="38">
        <v>0</v>
      </c>
      <c r="AZ63" s="38">
        <v>0</v>
      </c>
      <c r="BA63" s="27">
        <v>448623580</v>
      </c>
    </row>
    <row r="64" spans="1:53" ht="13.5" customHeight="1">
      <c r="A64" s="72" t="s">
        <v>57</v>
      </c>
      <c r="B64" s="77" t="s">
        <v>58</v>
      </c>
      <c r="C64" s="38">
        <v>127130</v>
      </c>
      <c r="D64" s="38">
        <v>94350</v>
      </c>
      <c r="E64" s="38">
        <v>134004</v>
      </c>
      <c r="F64" s="38">
        <v>66778</v>
      </c>
      <c r="G64" s="38">
        <v>206216</v>
      </c>
      <c r="H64" s="38">
        <v>469945</v>
      </c>
      <c r="I64" s="38">
        <f t="shared" si="3"/>
        <v>534498.3100254382</v>
      </c>
      <c r="J64" s="73">
        <f t="shared" si="4"/>
        <v>0.68997456178990935</v>
      </c>
      <c r="K64" s="38">
        <v>332306</v>
      </c>
      <c r="L64" s="38">
        <v>548446</v>
      </c>
      <c r="M64" s="38">
        <v>1395586</v>
      </c>
      <c r="N64" s="38">
        <v>8141816</v>
      </c>
      <c r="O64" s="38">
        <v>43904389</v>
      </c>
      <c r="P64" s="38">
        <v>8454471</v>
      </c>
      <c r="Q64" s="38">
        <v>25867522</v>
      </c>
      <c r="R64" s="38">
        <v>311865</v>
      </c>
      <c r="S64" s="38">
        <v>2037205</v>
      </c>
      <c r="T64" s="38">
        <v>2146060</v>
      </c>
      <c r="U64" s="38">
        <v>972943</v>
      </c>
      <c r="V64" s="38">
        <v>15485158</v>
      </c>
      <c r="W64" s="38">
        <v>1888909</v>
      </c>
      <c r="X64" s="38">
        <v>3253534</v>
      </c>
      <c r="Y64" s="38">
        <v>2548408</v>
      </c>
      <c r="Z64" s="38">
        <v>3173256</v>
      </c>
      <c r="AA64" s="38">
        <v>368769</v>
      </c>
      <c r="AB64" s="38">
        <v>850238</v>
      </c>
      <c r="AC64" s="38">
        <v>8335414</v>
      </c>
      <c r="AD64" s="38">
        <v>2483438</v>
      </c>
      <c r="AE64" s="38">
        <v>982153</v>
      </c>
      <c r="AF64" s="38">
        <v>785992</v>
      </c>
      <c r="AG64" s="38">
        <v>597813</v>
      </c>
      <c r="AH64" s="38">
        <v>457683</v>
      </c>
      <c r="AI64" s="38">
        <v>3195593</v>
      </c>
      <c r="AJ64" s="38">
        <v>11785</v>
      </c>
      <c r="AK64" s="26">
        <v>140163674</v>
      </c>
      <c r="AL64" s="38">
        <v>11254160</v>
      </c>
      <c r="AM64" s="38">
        <v>0</v>
      </c>
      <c r="AN64" s="38">
        <v>15865555</v>
      </c>
      <c r="AO64" s="38">
        <v>302355</v>
      </c>
      <c r="AP64" s="38">
        <v>-360625</v>
      </c>
      <c r="AQ64" s="38">
        <v>0</v>
      </c>
      <c r="AR64" s="38">
        <v>46805116</v>
      </c>
      <c r="AS64" s="26">
        <v>73866561</v>
      </c>
      <c r="AT64" s="27">
        <v>214030235</v>
      </c>
      <c r="AU64" s="42">
        <v>172753507</v>
      </c>
      <c r="AV64" s="38">
        <v>40326770</v>
      </c>
      <c r="AW64" s="38">
        <v>949958</v>
      </c>
      <c r="AX64" s="38">
        <v>41276728</v>
      </c>
      <c r="AY64" s="38">
        <v>0</v>
      </c>
      <c r="AZ64" s="38">
        <v>0</v>
      </c>
      <c r="BA64" s="27">
        <v>214030235</v>
      </c>
    </row>
    <row r="65" spans="1:53" ht="13.5" customHeight="1">
      <c r="A65" s="72" t="s">
        <v>59</v>
      </c>
      <c r="B65" s="77" t="s">
        <v>11</v>
      </c>
      <c r="C65" s="38">
        <v>129919</v>
      </c>
      <c r="D65" s="38">
        <v>120796</v>
      </c>
      <c r="E65" s="38">
        <v>347920</v>
      </c>
      <c r="F65" s="38">
        <v>31863</v>
      </c>
      <c r="G65" s="38">
        <v>94508</v>
      </c>
      <c r="H65" s="38">
        <v>1382092</v>
      </c>
      <c r="I65" s="38">
        <f t="shared" si="3"/>
        <v>788528</v>
      </c>
      <c r="J65" s="73">
        <f t="shared" si="4"/>
        <v>100</v>
      </c>
      <c r="K65" s="38">
        <v>155078</v>
      </c>
      <c r="L65" s="38">
        <v>734140</v>
      </c>
      <c r="M65" s="38">
        <v>2600060</v>
      </c>
      <c r="N65" s="38">
        <v>1519513</v>
      </c>
      <c r="O65" s="38">
        <v>1498282</v>
      </c>
      <c r="P65" s="38">
        <v>39011415</v>
      </c>
      <c r="Q65" s="38">
        <v>9746821</v>
      </c>
      <c r="R65" s="38">
        <v>56187</v>
      </c>
      <c r="S65" s="38">
        <v>1472837</v>
      </c>
      <c r="T65" s="38">
        <v>1127344</v>
      </c>
      <c r="U65" s="38">
        <v>1179355</v>
      </c>
      <c r="V65" s="38">
        <v>11223089</v>
      </c>
      <c r="W65" s="38">
        <v>650365</v>
      </c>
      <c r="X65" s="38">
        <v>989282</v>
      </c>
      <c r="Y65" s="38">
        <v>370234</v>
      </c>
      <c r="Z65" s="38">
        <v>128658</v>
      </c>
      <c r="AA65" s="38">
        <v>50603</v>
      </c>
      <c r="AB65" s="38">
        <v>337724</v>
      </c>
      <c r="AC65" s="38">
        <v>1323848</v>
      </c>
      <c r="AD65" s="38">
        <v>383679</v>
      </c>
      <c r="AE65" s="38">
        <v>539228</v>
      </c>
      <c r="AF65" s="38">
        <v>368941</v>
      </c>
      <c r="AG65" s="38">
        <v>247391</v>
      </c>
      <c r="AH65" s="38">
        <v>151440</v>
      </c>
      <c r="AI65" s="38">
        <v>135707</v>
      </c>
      <c r="AJ65" s="38">
        <v>6506</v>
      </c>
      <c r="AK65" s="26">
        <v>78903453</v>
      </c>
      <c r="AL65" s="38">
        <v>2796216</v>
      </c>
      <c r="AM65" s="38">
        <v>0</v>
      </c>
      <c r="AN65" s="38">
        <v>90764774</v>
      </c>
      <c r="AO65" s="38">
        <v>1006484</v>
      </c>
      <c r="AP65" s="38">
        <v>229139</v>
      </c>
      <c r="AQ65" s="38">
        <v>0</v>
      </c>
      <c r="AR65" s="38">
        <v>70735546</v>
      </c>
      <c r="AS65" s="26">
        <v>165532159</v>
      </c>
      <c r="AT65" s="27">
        <v>244435612</v>
      </c>
      <c r="AU65" s="42">
        <v>185483373</v>
      </c>
      <c r="AV65" s="38">
        <v>57666958</v>
      </c>
      <c r="AW65" s="38">
        <v>1285281</v>
      </c>
      <c r="AX65" s="38">
        <v>58952239</v>
      </c>
      <c r="AY65" s="38">
        <v>0</v>
      </c>
      <c r="AZ65" s="38">
        <v>0</v>
      </c>
      <c r="BA65" s="27">
        <v>244435612</v>
      </c>
    </row>
    <row r="66" spans="1:53" ht="13.5" customHeight="1">
      <c r="A66" s="72" t="s">
        <v>60</v>
      </c>
      <c r="B66" s="77" t="s">
        <v>12</v>
      </c>
      <c r="C66" s="38">
        <v>214292</v>
      </c>
      <c r="D66" s="38">
        <v>171746</v>
      </c>
      <c r="E66" s="38">
        <v>36186</v>
      </c>
      <c r="F66" s="38">
        <v>13210</v>
      </c>
      <c r="G66" s="38">
        <v>88391</v>
      </c>
      <c r="H66" s="38">
        <v>261289</v>
      </c>
      <c r="I66" s="38">
        <f t="shared" si="3"/>
        <v>302512.60949173971</v>
      </c>
      <c r="J66" s="73">
        <f t="shared" si="4"/>
        <v>0.39050826027878593</v>
      </c>
      <c r="K66" s="38">
        <v>199501</v>
      </c>
      <c r="L66" s="38">
        <v>171865</v>
      </c>
      <c r="M66" s="38">
        <v>276460</v>
      </c>
      <c r="N66" s="38">
        <v>16439</v>
      </c>
      <c r="O66" s="38">
        <v>89307</v>
      </c>
      <c r="P66" s="38">
        <v>701786</v>
      </c>
      <c r="Q66" s="38">
        <v>96037051</v>
      </c>
      <c r="R66" s="38">
        <v>18832</v>
      </c>
      <c r="S66" s="38">
        <v>3598588</v>
      </c>
      <c r="T66" s="38">
        <v>153854</v>
      </c>
      <c r="U66" s="38">
        <v>575492</v>
      </c>
      <c r="V66" s="38">
        <v>37247</v>
      </c>
      <c r="W66" s="38">
        <v>681877</v>
      </c>
      <c r="X66" s="38">
        <v>10079696</v>
      </c>
      <c r="Y66" s="38">
        <v>179329</v>
      </c>
      <c r="Z66" s="38">
        <v>151437</v>
      </c>
      <c r="AA66" s="38">
        <v>22514</v>
      </c>
      <c r="AB66" s="38">
        <v>43088</v>
      </c>
      <c r="AC66" s="38">
        <v>3650026</v>
      </c>
      <c r="AD66" s="38">
        <v>876040</v>
      </c>
      <c r="AE66" s="38">
        <v>3578727</v>
      </c>
      <c r="AF66" s="38">
        <v>166906</v>
      </c>
      <c r="AG66" s="38">
        <v>225780</v>
      </c>
      <c r="AH66" s="38">
        <v>108240</v>
      </c>
      <c r="AI66" s="38">
        <v>7993657</v>
      </c>
      <c r="AJ66" s="38">
        <v>7888</v>
      </c>
      <c r="AK66" s="26">
        <v>130729254</v>
      </c>
      <c r="AL66" s="38">
        <v>40901705</v>
      </c>
      <c r="AM66" s="38">
        <v>0</v>
      </c>
      <c r="AN66" s="38">
        <v>42292727</v>
      </c>
      <c r="AO66" s="38">
        <v>13019884</v>
      </c>
      <c r="AP66" s="38">
        <v>3133154</v>
      </c>
      <c r="AQ66" s="38">
        <v>0</v>
      </c>
      <c r="AR66" s="38">
        <v>157357500</v>
      </c>
      <c r="AS66" s="26">
        <v>256704970</v>
      </c>
      <c r="AT66" s="27">
        <v>387434224</v>
      </c>
      <c r="AU66" s="42">
        <v>337135671</v>
      </c>
      <c r="AV66" s="38">
        <v>47691411</v>
      </c>
      <c r="AW66" s="38">
        <v>2607142</v>
      </c>
      <c r="AX66" s="38">
        <v>50298553</v>
      </c>
      <c r="AY66" s="38">
        <v>0</v>
      </c>
      <c r="AZ66" s="38">
        <v>0</v>
      </c>
      <c r="BA66" s="27">
        <v>387434224</v>
      </c>
    </row>
    <row r="67" spans="1:53" ht="13.5" customHeight="1">
      <c r="A67" s="72" t="s">
        <v>61</v>
      </c>
      <c r="B67" s="77" t="s">
        <v>135</v>
      </c>
      <c r="C67" s="38">
        <v>13043</v>
      </c>
      <c r="D67" s="38">
        <v>4348</v>
      </c>
      <c r="E67" s="38">
        <v>265784</v>
      </c>
      <c r="F67" s="38">
        <v>400619</v>
      </c>
      <c r="G67" s="38">
        <v>49555</v>
      </c>
      <c r="H67" s="38">
        <v>19543</v>
      </c>
      <c r="I67" s="38">
        <f t="shared" si="3"/>
        <v>63825.917608234289</v>
      </c>
      <c r="J67" s="73">
        <f t="shared" si="4"/>
        <v>8.2391765711072873E-2</v>
      </c>
      <c r="K67" s="38">
        <v>9664</v>
      </c>
      <c r="L67" s="38">
        <v>32816</v>
      </c>
      <c r="M67" s="38">
        <v>127540</v>
      </c>
      <c r="N67" s="38">
        <v>53518</v>
      </c>
      <c r="O67" s="38">
        <v>39413</v>
      </c>
      <c r="P67" s="38">
        <v>60546</v>
      </c>
      <c r="Q67" s="38">
        <v>58127</v>
      </c>
      <c r="R67" s="38">
        <v>1765026</v>
      </c>
      <c r="S67" s="38">
        <v>211009</v>
      </c>
      <c r="T67" s="38">
        <v>19253</v>
      </c>
      <c r="U67" s="38">
        <v>201605</v>
      </c>
      <c r="V67" s="38">
        <v>2450611</v>
      </c>
      <c r="W67" s="38">
        <v>958311</v>
      </c>
      <c r="X67" s="38">
        <v>218259</v>
      </c>
      <c r="Y67" s="38">
        <v>2773762</v>
      </c>
      <c r="Z67" s="38">
        <v>459712</v>
      </c>
      <c r="AA67" s="38">
        <v>238915</v>
      </c>
      <c r="AB67" s="38">
        <v>984873</v>
      </c>
      <c r="AC67" s="38">
        <v>1963776</v>
      </c>
      <c r="AD67" s="38">
        <v>962940</v>
      </c>
      <c r="AE67" s="38">
        <v>659646</v>
      </c>
      <c r="AF67" s="38">
        <v>2473529</v>
      </c>
      <c r="AG67" s="38">
        <v>820745</v>
      </c>
      <c r="AH67" s="38">
        <v>1323183</v>
      </c>
      <c r="AI67" s="38">
        <v>807734</v>
      </c>
      <c r="AJ67" s="38">
        <v>11875</v>
      </c>
      <c r="AK67" s="26">
        <v>20503106</v>
      </c>
      <c r="AL67" s="38">
        <v>10947329</v>
      </c>
      <c r="AM67" s="38">
        <v>0</v>
      </c>
      <c r="AN67" s="38">
        <v>4161544</v>
      </c>
      <c r="AO67" s="38">
        <v>210426</v>
      </c>
      <c r="AP67" s="38">
        <v>166929</v>
      </c>
      <c r="AQ67" s="38">
        <v>1489650</v>
      </c>
      <c r="AR67" s="38">
        <v>3980497</v>
      </c>
      <c r="AS67" s="26">
        <v>20956375</v>
      </c>
      <c r="AT67" s="27">
        <v>41459481</v>
      </c>
      <c r="AU67" s="42">
        <v>28943269</v>
      </c>
      <c r="AV67" s="38">
        <v>11601209</v>
      </c>
      <c r="AW67" s="38">
        <v>915003</v>
      </c>
      <c r="AX67" s="38">
        <v>12516212</v>
      </c>
      <c r="AY67" s="38">
        <v>0</v>
      </c>
      <c r="AZ67" s="38">
        <v>0</v>
      </c>
      <c r="BA67" s="27">
        <v>41459481</v>
      </c>
    </row>
    <row r="68" spans="1:53" ht="13.5" customHeight="1">
      <c r="A68" s="72" t="s">
        <v>63</v>
      </c>
      <c r="B68" s="77" t="s">
        <v>64</v>
      </c>
      <c r="C68" s="38">
        <v>242070</v>
      </c>
      <c r="D68" s="38">
        <v>152155</v>
      </c>
      <c r="E68" s="38">
        <v>5486522</v>
      </c>
      <c r="F68" s="38">
        <v>9985095</v>
      </c>
      <c r="G68" s="38">
        <v>1801603</v>
      </c>
      <c r="H68" s="38">
        <v>435565</v>
      </c>
      <c r="I68" s="38">
        <f t="shared" si="3"/>
        <v>9541656.6828415263</v>
      </c>
      <c r="J68" s="73">
        <f t="shared" si="4"/>
        <v>12.317158473672285</v>
      </c>
      <c r="K68" s="38">
        <v>1369996</v>
      </c>
      <c r="L68" s="38">
        <v>4224299</v>
      </c>
      <c r="M68" s="38">
        <v>5725936</v>
      </c>
      <c r="N68" s="38">
        <v>18958535</v>
      </c>
      <c r="O68" s="38">
        <v>6950897</v>
      </c>
      <c r="P68" s="38">
        <v>12079284</v>
      </c>
      <c r="Q68" s="38">
        <v>8404373</v>
      </c>
      <c r="R68" s="38">
        <v>2035952</v>
      </c>
      <c r="S68" s="38">
        <v>12334112</v>
      </c>
      <c r="T68" s="38">
        <v>411980</v>
      </c>
      <c r="U68" s="38">
        <v>403424</v>
      </c>
      <c r="V68" s="38">
        <v>190115</v>
      </c>
      <c r="W68" s="38">
        <v>524872</v>
      </c>
      <c r="X68" s="38">
        <v>87915</v>
      </c>
      <c r="Y68" s="38">
        <v>119377</v>
      </c>
      <c r="Z68" s="38">
        <v>257520</v>
      </c>
      <c r="AA68" s="38">
        <v>52047</v>
      </c>
      <c r="AB68" s="38">
        <v>76140</v>
      </c>
      <c r="AC68" s="38">
        <v>312264</v>
      </c>
      <c r="AD68" s="38">
        <v>1017368</v>
      </c>
      <c r="AE68" s="38">
        <v>230996</v>
      </c>
      <c r="AF68" s="38">
        <v>285366</v>
      </c>
      <c r="AG68" s="38">
        <v>1116365</v>
      </c>
      <c r="AH68" s="38">
        <v>128510</v>
      </c>
      <c r="AI68" s="38">
        <v>55174</v>
      </c>
      <c r="AJ68" s="38">
        <v>1492</v>
      </c>
      <c r="AK68" s="26">
        <v>104998988</v>
      </c>
      <c r="AL68" s="38">
        <v>28837</v>
      </c>
      <c r="AM68" s="38">
        <v>0</v>
      </c>
      <c r="AN68" s="38">
        <v>0</v>
      </c>
      <c r="AO68" s="38">
        <v>0</v>
      </c>
      <c r="AP68" s="38">
        <v>0</v>
      </c>
      <c r="AQ68" s="38">
        <v>0</v>
      </c>
      <c r="AR68" s="38">
        <v>4155270</v>
      </c>
      <c r="AS68" s="26">
        <v>4184107</v>
      </c>
      <c r="AT68" s="27">
        <v>109183095</v>
      </c>
      <c r="AU68" s="42">
        <v>96802300</v>
      </c>
      <c r="AV68" s="38">
        <v>12380795</v>
      </c>
      <c r="AW68" s="38">
        <v>0</v>
      </c>
      <c r="AX68" s="38">
        <v>12380795</v>
      </c>
      <c r="AY68" s="38">
        <v>0</v>
      </c>
      <c r="AZ68" s="38">
        <v>0</v>
      </c>
      <c r="BA68" s="27">
        <v>109183095</v>
      </c>
    </row>
    <row r="69" spans="1:53" ht="13.5" customHeight="1">
      <c r="A69" s="72" t="s">
        <v>65</v>
      </c>
      <c r="B69" s="77" t="s">
        <v>13</v>
      </c>
      <c r="C69" s="38">
        <v>1767890</v>
      </c>
      <c r="D69" s="38">
        <v>309520</v>
      </c>
      <c r="E69" s="38">
        <v>3418331</v>
      </c>
      <c r="F69" s="38">
        <v>1482512</v>
      </c>
      <c r="G69" s="38">
        <v>2587944</v>
      </c>
      <c r="H69" s="38">
        <v>4698075</v>
      </c>
      <c r="I69" s="38">
        <f t="shared" si="3"/>
        <v>13644306</v>
      </c>
      <c r="J69" s="73">
        <f t="shared" si="4"/>
        <v>200</v>
      </c>
      <c r="K69" s="38">
        <v>2510460</v>
      </c>
      <c r="L69" s="38">
        <v>13713403</v>
      </c>
      <c r="M69" s="38">
        <v>1874689</v>
      </c>
      <c r="N69" s="38">
        <v>10769625</v>
      </c>
      <c r="O69" s="38">
        <v>1765024</v>
      </c>
      <c r="P69" s="38">
        <v>2141590</v>
      </c>
      <c r="Q69" s="38">
        <v>4950664</v>
      </c>
      <c r="R69" s="38">
        <v>197778</v>
      </c>
      <c r="S69" s="38">
        <v>810329</v>
      </c>
      <c r="T69" s="38">
        <v>25782761</v>
      </c>
      <c r="U69" s="38">
        <v>909490</v>
      </c>
      <c r="V69" s="38">
        <v>748789</v>
      </c>
      <c r="W69" s="38">
        <v>3749316</v>
      </c>
      <c r="X69" s="38">
        <v>3699428</v>
      </c>
      <c r="Y69" s="38">
        <v>1395483</v>
      </c>
      <c r="Z69" s="38">
        <v>1207141</v>
      </c>
      <c r="AA69" s="38">
        <v>1004513</v>
      </c>
      <c r="AB69" s="38">
        <v>2119641</v>
      </c>
      <c r="AC69" s="38">
        <v>6920949</v>
      </c>
      <c r="AD69" s="38">
        <v>477521</v>
      </c>
      <c r="AE69" s="38">
        <v>1132201</v>
      </c>
      <c r="AF69" s="38">
        <v>3465835</v>
      </c>
      <c r="AG69" s="38">
        <v>1954483</v>
      </c>
      <c r="AH69" s="38">
        <v>920786</v>
      </c>
      <c r="AI69" s="38">
        <v>777356</v>
      </c>
      <c r="AJ69" s="38">
        <v>2523</v>
      </c>
      <c r="AK69" s="26">
        <v>122910556</v>
      </c>
      <c r="AL69" s="38">
        <v>28833591</v>
      </c>
      <c r="AM69" s="38">
        <v>0</v>
      </c>
      <c r="AN69" s="38">
        <v>0</v>
      </c>
      <c r="AO69" s="38">
        <v>0</v>
      </c>
      <c r="AP69" s="38">
        <v>0</v>
      </c>
      <c r="AQ69" s="38">
        <v>0</v>
      </c>
      <c r="AR69" s="38">
        <v>163506</v>
      </c>
      <c r="AS69" s="26">
        <v>28997097</v>
      </c>
      <c r="AT69" s="27">
        <v>151907653</v>
      </c>
      <c r="AU69" s="42">
        <v>151678800</v>
      </c>
      <c r="AV69" s="38">
        <v>228853</v>
      </c>
      <c r="AW69" s="38">
        <v>0</v>
      </c>
      <c r="AX69" s="38">
        <v>228853</v>
      </c>
      <c r="AY69" s="38">
        <v>0</v>
      </c>
      <c r="AZ69" s="38">
        <v>0</v>
      </c>
      <c r="BA69" s="27">
        <v>151907653</v>
      </c>
    </row>
    <row r="70" spans="1:53" ht="13.5" customHeight="1">
      <c r="A70" s="72" t="s">
        <v>66</v>
      </c>
      <c r="B70" s="77" t="s">
        <v>67</v>
      </c>
      <c r="C70" s="38">
        <v>89368</v>
      </c>
      <c r="D70" s="38">
        <v>14541</v>
      </c>
      <c r="E70" s="38">
        <v>826779</v>
      </c>
      <c r="F70" s="38">
        <v>386115</v>
      </c>
      <c r="G70" s="38">
        <v>575476</v>
      </c>
      <c r="H70" s="38">
        <v>130595</v>
      </c>
      <c r="I70" s="38">
        <f t="shared" si="3"/>
        <v>4924309.6432944229</v>
      </c>
      <c r="J70" s="73">
        <f t="shared" si="4"/>
        <v>6.3567055770264087</v>
      </c>
      <c r="K70" s="38">
        <v>637797</v>
      </c>
      <c r="L70" s="38">
        <v>5187656</v>
      </c>
      <c r="M70" s="38">
        <v>905612</v>
      </c>
      <c r="N70" s="38">
        <v>235320</v>
      </c>
      <c r="O70" s="38">
        <v>281475</v>
      </c>
      <c r="P70" s="38">
        <v>742523</v>
      </c>
      <c r="Q70" s="38">
        <v>461476</v>
      </c>
      <c r="R70" s="38">
        <v>55082</v>
      </c>
      <c r="S70" s="38">
        <v>255182</v>
      </c>
      <c r="T70" s="38">
        <v>332905</v>
      </c>
      <c r="U70" s="38">
        <v>2236474</v>
      </c>
      <c r="V70" s="38">
        <v>341237</v>
      </c>
      <c r="W70" s="38">
        <v>165479</v>
      </c>
      <c r="X70" s="38">
        <v>464005</v>
      </c>
      <c r="Y70" s="38">
        <v>2878054</v>
      </c>
      <c r="Z70" s="38">
        <v>361325</v>
      </c>
      <c r="AA70" s="38">
        <v>303706</v>
      </c>
      <c r="AB70" s="38">
        <v>2573899</v>
      </c>
      <c r="AC70" s="38">
        <v>1005874</v>
      </c>
      <c r="AD70" s="38">
        <v>452566</v>
      </c>
      <c r="AE70" s="38">
        <v>1046785</v>
      </c>
      <c r="AF70" s="38">
        <v>1383081</v>
      </c>
      <c r="AG70" s="38">
        <v>1977621</v>
      </c>
      <c r="AH70" s="38">
        <v>421875</v>
      </c>
      <c r="AI70" s="38">
        <v>627650</v>
      </c>
      <c r="AJ70" s="38">
        <v>8234</v>
      </c>
      <c r="AK70" s="26">
        <v>32290083</v>
      </c>
      <c r="AL70" s="38">
        <v>5621462</v>
      </c>
      <c r="AM70" s="38">
        <v>3376692</v>
      </c>
      <c r="AN70" s="38">
        <v>0</v>
      </c>
      <c r="AO70" s="38">
        <v>0</v>
      </c>
      <c r="AP70" s="38">
        <v>0</v>
      </c>
      <c r="AQ70" s="38">
        <v>0</v>
      </c>
      <c r="AR70" s="38">
        <v>703138</v>
      </c>
      <c r="AS70" s="26">
        <v>9701292</v>
      </c>
      <c r="AT70" s="27">
        <v>41991375</v>
      </c>
      <c r="AU70" s="42">
        <v>41799020</v>
      </c>
      <c r="AV70" s="38">
        <v>192355</v>
      </c>
      <c r="AW70" s="38">
        <v>0</v>
      </c>
      <c r="AX70" s="38">
        <v>192355</v>
      </c>
      <c r="AY70" s="38">
        <v>0</v>
      </c>
      <c r="AZ70" s="38">
        <v>0</v>
      </c>
      <c r="BA70" s="27">
        <v>41991375</v>
      </c>
    </row>
    <row r="71" spans="1:53" ht="13.5" customHeight="1">
      <c r="A71" s="72" t="s">
        <v>68</v>
      </c>
      <c r="B71" s="77" t="s">
        <v>14</v>
      </c>
      <c r="C71" s="38">
        <v>88514</v>
      </c>
      <c r="D71" s="38">
        <v>32490</v>
      </c>
      <c r="E71" s="38">
        <v>115964</v>
      </c>
      <c r="F71" s="38">
        <v>17981</v>
      </c>
      <c r="G71" s="38">
        <v>52301</v>
      </c>
      <c r="H71" s="38">
        <v>105287</v>
      </c>
      <c r="I71" s="38">
        <f t="shared" si="3"/>
        <v>239146.69128970022</v>
      </c>
      <c r="J71" s="73">
        <f t="shared" si="4"/>
        <v>0.3087102997917141</v>
      </c>
      <c r="K71" s="38">
        <v>35374</v>
      </c>
      <c r="L71" s="38">
        <v>173084</v>
      </c>
      <c r="M71" s="38">
        <v>142250</v>
      </c>
      <c r="N71" s="38">
        <v>79641</v>
      </c>
      <c r="O71" s="38">
        <v>106790</v>
      </c>
      <c r="P71" s="38">
        <v>86476</v>
      </c>
      <c r="Q71" s="38">
        <v>23178</v>
      </c>
      <c r="R71" s="38">
        <v>15431</v>
      </c>
      <c r="S71" s="38">
        <v>19997</v>
      </c>
      <c r="T71" s="38">
        <v>294042</v>
      </c>
      <c r="U71" s="38">
        <v>116218</v>
      </c>
      <c r="V71" s="38">
        <v>22772</v>
      </c>
      <c r="W71" s="38">
        <v>382154</v>
      </c>
      <c r="X71" s="38">
        <v>135823</v>
      </c>
      <c r="Y71" s="38">
        <v>862064</v>
      </c>
      <c r="Z71" s="38">
        <v>378330</v>
      </c>
      <c r="AA71" s="38">
        <v>59155</v>
      </c>
      <c r="AB71" s="38">
        <v>18831564</v>
      </c>
      <c r="AC71" s="38">
        <v>837373</v>
      </c>
      <c r="AD71" s="38">
        <v>366211</v>
      </c>
      <c r="AE71" s="38">
        <v>850453</v>
      </c>
      <c r="AF71" s="38">
        <v>169025</v>
      </c>
      <c r="AG71" s="38">
        <v>98138</v>
      </c>
      <c r="AH71" s="38">
        <v>151080</v>
      </c>
      <c r="AI71" s="38">
        <v>166440</v>
      </c>
      <c r="AJ71" s="38">
        <v>8090</v>
      </c>
      <c r="AK71" s="26">
        <v>25062837</v>
      </c>
      <c r="AL71" s="38">
        <v>0</v>
      </c>
      <c r="AM71" s="38">
        <v>0</v>
      </c>
      <c r="AN71" s="38">
        <v>239341758</v>
      </c>
      <c r="AO71" s="38">
        <v>75543183</v>
      </c>
      <c r="AP71" s="38">
        <v>2120576</v>
      </c>
      <c r="AQ71" s="38">
        <v>0</v>
      </c>
      <c r="AR71" s="38">
        <v>171495</v>
      </c>
      <c r="AS71" s="26">
        <v>317177012</v>
      </c>
      <c r="AT71" s="27">
        <v>342239849</v>
      </c>
      <c r="AU71" s="42">
        <v>342238299</v>
      </c>
      <c r="AV71" s="38">
        <v>1550</v>
      </c>
      <c r="AW71" s="38">
        <v>0</v>
      </c>
      <c r="AX71" s="38">
        <v>1550</v>
      </c>
      <c r="AY71" s="38">
        <v>0</v>
      </c>
      <c r="AZ71" s="38">
        <v>0</v>
      </c>
      <c r="BA71" s="27">
        <v>342239849</v>
      </c>
    </row>
    <row r="72" spans="1:53" ht="13.5" customHeight="1">
      <c r="A72" s="72" t="s">
        <v>69</v>
      </c>
      <c r="B72" s="77" t="s">
        <v>70</v>
      </c>
      <c r="C72" s="38">
        <v>4017209</v>
      </c>
      <c r="D72" s="38">
        <v>92735</v>
      </c>
      <c r="E72" s="38">
        <v>13462055</v>
      </c>
      <c r="F72" s="38">
        <v>6233010</v>
      </c>
      <c r="G72" s="38">
        <v>3475883</v>
      </c>
      <c r="H72" s="38">
        <v>2667447</v>
      </c>
      <c r="I72" s="38">
        <f t="shared" si="3"/>
        <v>16297614.961692618</v>
      </c>
      <c r="J72" s="73">
        <f t="shared" si="4"/>
        <v>21.038307381887428</v>
      </c>
      <c r="K72" s="38">
        <v>2168116</v>
      </c>
      <c r="L72" s="38">
        <v>4793951</v>
      </c>
      <c r="M72" s="38">
        <v>4627359</v>
      </c>
      <c r="N72" s="38">
        <v>12829244</v>
      </c>
      <c r="O72" s="38">
        <v>7574944</v>
      </c>
      <c r="P72" s="38">
        <v>7673225</v>
      </c>
      <c r="Q72" s="38">
        <v>14473615</v>
      </c>
      <c r="R72" s="38">
        <v>2501432</v>
      </c>
      <c r="S72" s="38">
        <v>2360968</v>
      </c>
      <c r="T72" s="38">
        <v>3590237</v>
      </c>
      <c r="U72" s="38">
        <v>1036779</v>
      </c>
      <c r="V72" s="38">
        <v>12332647</v>
      </c>
      <c r="W72" s="38">
        <v>17942218</v>
      </c>
      <c r="X72" s="38">
        <v>3342006</v>
      </c>
      <c r="Y72" s="38">
        <v>17133669</v>
      </c>
      <c r="Z72" s="38">
        <v>8902929</v>
      </c>
      <c r="AA72" s="38">
        <v>532693</v>
      </c>
      <c r="AB72" s="38">
        <v>771050</v>
      </c>
      <c r="AC72" s="38">
        <v>6796534</v>
      </c>
      <c r="AD72" s="38">
        <v>2561456</v>
      </c>
      <c r="AE72" s="38">
        <v>2237644</v>
      </c>
      <c r="AF72" s="38">
        <v>2524334</v>
      </c>
      <c r="AG72" s="38">
        <v>13549614</v>
      </c>
      <c r="AH72" s="38">
        <v>1885064</v>
      </c>
      <c r="AI72" s="38">
        <v>3582370</v>
      </c>
      <c r="AJ72" s="38">
        <v>43486</v>
      </c>
      <c r="AK72" s="26">
        <v>204013559</v>
      </c>
      <c r="AL72" s="38">
        <v>134942015</v>
      </c>
      <c r="AM72" s="38">
        <v>0</v>
      </c>
      <c r="AN72" s="38">
        <v>20207842</v>
      </c>
      <c r="AO72" s="38">
        <v>1806222</v>
      </c>
      <c r="AP72" s="38">
        <v>582671</v>
      </c>
      <c r="AQ72" s="38">
        <v>578417</v>
      </c>
      <c r="AR72" s="38">
        <v>39426548</v>
      </c>
      <c r="AS72" s="26">
        <v>197543715</v>
      </c>
      <c r="AT72" s="27">
        <v>401557274</v>
      </c>
      <c r="AU72" s="42">
        <v>396488672</v>
      </c>
      <c r="AV72" s="38">
        <v>5068602</v>
      </c>
      <c r="AW72" s="38">
        <v>0</v>
      </c>
      <c r="AX72" s="38">
        <v>5068602</v>
      </c>
      <c r="AY72" s="38">
        <v>0</v>
      </c>
      <c r="AZ72" s="38">
        <v>0</v>
      </c>
      <c r="BA72" s="27">
        <v>401557274</v>
      </c>
    </row>
    <row r="73" spans="1:53" ht="13.5" customHeight="1">
      <c r="A73" s="72" t="s">
        <v>71</v>
      </c>
      <c r="B73" s="77" t="s">
        <v>42</v>
      </c>
      <c r="C73" s="38">
        <v>1919167</v>
      </c>
      <c r="D73" s="38">
        <v>799284</v>
      </c>
      <c r="E73" s="38">
        <v>6346706</v>
      </c>
      <c r="F73" s="38">
        <v>2668966</v>
      </c>
      <c r="G73" s="38">
        <v>2365196</v>
      </c>
      <c r="H73" s="38">
        <v>1716791</v>
      </c>
      <c r="I73" s="38">
        <f t="shared" si="3"/>
        <v>11761459.817336312</v>
      </c>
      <c r="J73" s="73">
        <f t="shared" si="4"/>
        <v>15.18266368903959</v>
      </c>
      <c r="K73" s="38">
        <v>5779159</v>
      </c>
      <c r="L73" s="38">
        <v>5382372</v>
      </c>
      <c r="M73" s="38">
        <v>3816276</v>
      </c>
      <c r="N73" s="38">
        <v>4240610</v>
      </c>
      <c r="O73" s="38">
        <v>2821897</v>
      </c>
      <c r="P73" s="38">
        <v>4171193</v>
      </c>
      <c r="Q73" s="38">
        <v>3826162</v>
      </c>
      <c r="R73" s="38">
        <v>1062698</v>
      </c>
      <c r="S73" s="38">
        <v>1535413</v>
      </c>
      <c r="T73" s="38">
        <v>700835</v>
      </c>
      <c r="U73" s="38">
        <v>3021647</v>
      </c>
      <c r="V73" s="38">
        <v>3493413</v>
      </c>
      <c r="W73" s="38">
        <v>30984703</v>
      </c>
      <c r="X73" s="38">
        <v>36280065</v>
      </c>
      <c r="Y73" s="38">
        <v>3439509</v>
      </c>
      <c r="Z73" s="38">
        <v>1733366</v>
      </c>
      <c r="AA73" s="38">
        <v>763410</v>
      </c>
      <c r="AB73" s="38">
        <v>734963</v>
      </c>
      <c r="AC73" s="38">
        <v>4637907</v>
      </c>
      <c r="AD73" s="38">
        <v>2409856</v>
      </c>
      <c r="AE73" s="38">
        <v>2789128</v>
      </c>
      <c r="AF73" s="38">
        <v>779792</v>
      </c>
      <c r="AG73" s="38">
        <v>1650316</v>
      </c>
      <c r="AH73" s="38">
        <v>456533</v>
      </c>
      <c r="AI73" s="38">
        <v>1197763</v>
      </c>
      <c r="AJ73" s="38">
        <v>194310</v>
      </c>
      <c r="AK73" s="26">
        <v>155480881</v>
      </c>
      <c r="AL73" s="38">
        <v>46349360</v>
      </c>
      <c r="AM73" s="38">
        <v>0</v>
      </c>
      <c r="AN73" s="38">
        <v>454497</v>
      </c>
      <c r="AO73" s="38">
        <v>177198</v>
      </c>
      <c r="AP73" s="38">
        <v>90062</v>
      </c>
      <c r="AQ73" s="38">
        <v>9663</v>
      </c>
      <c r="AR73" s="38">
        <v>51177729</v>
      </c>
      <c r="AS73" s="26">
        <v>98258509</v>
      </c>
      <c r="AT73" s="27">
        <v>253739390</v>
      </c>
      <c r="AU73" s="42">
        <v>221215271</v>
      </c>
      <c r="AV73" s="38">
        <v>32524119</v>
      </c>
      <c r="AW73" s="38">
        <v>0</v>
      </c>
      <c r="AX73" s="38">
        <v>32524119</v>
      </c>
      <c r="AY73" s="38">
        <v>0</v>
      </c>
      <c r="AZ73" s="38">
        <v>0</v>
      </c>
      <c r="BA73" s="27">
        <v>253739390</v>
      </c>
    </row>
    <row r="74" spans="1:53" ht="13.5" customHeight="1">
      <c r="A74" s="72" t="s">
        <v>72</v>
      </c>
      <c r="B74" s="77" t="s">
        <v>15</v>
      </c>
      <c r="C74" s="38">
        <v>486496</v>
      </c>
      <c r="D74" s="38">
        <v>118589</v>
      </c>
      <c r="E74" s="38">
        <v>714237</v>
      </c>
      <c r="F74" s="38">
        <v>554536</v>
      </c>
      <c r="G74" s="38">
        <v>579581</v>
      </c>
      <c r="H74" s="38">
        <v>281811</v>
      </c>
      <c r="I74" s="38">
        <f t="shared" si="3"/>
        <v>1877938.5758017909</v>
      </c>
      <c r="J74" s="73">
        <f t="shared" si="4"/>
        <v>2.4241982090561511</v>
      </c>
      <c r="K74" s="38">
        <v>397497</v>
      </c>
      <c r="L74" s="38">
        <v>909887</v>
      </c>
      <c r="M74" s="38">
        <v>1188218</v>
      </c>
      <c r="N74" s="38">
        <v>1271637</v>
      </c>
      <c r="O74" s="38">
        <v>654787</v>
      </c>
      <c r="P74" s="38">
        <v>1409906</v>
      </c>
      <c r="Q74" s="38">
        <v>1251367</v>
      </c>
      <c r="R74" s="38">
        <v>249705</v>
      </c>
      <c r="S74" s="38">
        <v>2627810</v>
      </c>
      <c r="T74" s="38">
        <v>395221</v>
      </c>
      <c r="U74" s="38">
        <v>706263</v>
      </c>
      <c r="V74" s="38">
        <v>1124688</v>
      </c>
      <c r="W74" s="38">
        <v>16374635</v>
      </c>
      <c r="X74" s="38">
        <v>2603168</v>
      </c>
      <c r="Y74" s="38">
        <v>1489195</v>
      </c>
      <c r="Z74" s="38">
        <v>3506755</v>
      </c>
      <c r="AA74" s="38">
        <v>4440413</v>
      </c>
      <c r="AB74" s="38">
        <v>2669324</v>
      </c>
      <c r="AC74" s="38">
        <v>13245276</v>
      </c>
      <c r="AD74" s="38">
        <v>4849979</v>
      </c>
      <c r="AE74" s="38">
        <v>5957103</v>
      </c>
      <c r="AF74" s="38">
        <v>4252669</v>
      </c>
      <c r="AG74" s="38">
        <v>5569033</v>
      </c>
      <c r="AH74" s="38">
        <v>2299807</v>
      </c>
      <c r="AI74" s="38">
        <v>5143416</v>
      </c>
      <c r="AJ74" s="38">
        <v>7472</v>
      </c>
      <c r="AK74" s="26">
        <v>89208422</v>
      </c>
      <c r="AL74" s="38">
        <v>143478057</v>
      </c>
      <c r="AM74" s="38">
        <v>0</v>
      </c>
      <c r="AN74" s="38">
        <v>0</v>
      </c>
      <c r="AO74" s="38">
        <v>0</v>
      </c>
      <c r="AP74" s="38">
        <v>0</v>
      </c>
      <c r="AQ74" s="38">
        <v>0</v>
      </c>
      <c r="AR74" s="38">
        <v>10651506</v>
      </c>
      <c r="AS74" s="26">
        <v>154129563</v>
      </c>
      <c r="AT74" s="27">
        <v>243337985</v>
      </c>
      <c r="AU74" s="42">
        <v>223735804</v>
      </c>
      <c r="AV74" s="38">
        <v>19602181</v>
      </c>
      <c r="AW74" s="38">
        <v>0</v>
      </c>
      <c r="AX74" s="38">
        <v>19602181</v>
      </c>
      <c r="AY74" s="38">
        <v>0</v>
      </c>
      <c r="AZ74" s="38">
        <v>0</v>
      </c>
      <c r="BA74" s="27">
        <v>243337985</v>
      </c>
    </row>
    <row r="75" spans="1:53" ht="13.5" customHeight="1">
      <c r="A75" s="72" t="s">
        <v>73</v>
      </c>
      <c r="B75" s="77" t="s">
        <v>136</v>
      </c>
      <c r="C75" s="38">
        <v>188130</v>
      </c>
      <c r="D75" s="38">
        <v>26237</v>
      </c>
      <c r="E75" s="38">
        <v>380285</v>
      </c>
      <c r="F75" s="38">
        <v>190878</v>
      </c>
      <c r="G75" s="38">
        <v>371296</v>
      </c>
      <c r="H75" s="38">
        <v>552800</v>
      </c>
      <c r="I75" s="38">
        <f t="shared" si="3"/>
        <v>883075.86005274823</v>
      </c>
      <c r="J75" s="73">
        <f t="shared" si="4"/>
        <v>1.1399472517287172</v>
      </c>
      <c r="K75" s="38">
        <v>168970</v>
      </c>
      <c r="L75" s="38">
        <v>631418</v>
      </c>
      <c r="M75" s="38">
        <v>565439</v>
      </c>
      <c r="N75" s="38">
        <v>1494611</v>
      </c>
      <c r="O75" s="38">
        <v>449424</v>
      </c>
      <c r="P75" s="38">
        <v>653347</v>
      </c>
      <c r="Q75" s="38">
        <v>799174</v>
      </c>
      <c r="R75" s="38">
        <v>268440</v>
      </c>
      <c r="S75" s="38">
        <v>621396</v>
      </c>
      <c r="T75" s="38">
        <v>203385</v>
      </c>
      <c r="U75" s="38">
        <v>580315</v>
      </c>
      <c r="V75" s="38">
        <v>863463</v>
      </c>
      <c r="W75" s="38">
        <v>10892513</v>
      </c>
      <c r="X75" s="38">
        <v>2462241</v>
      </c>
      <c r="Y75" s="38">
        <v>2378818</v>
      </c>
      <c r="Z75" s="38">
        <v>36692460</v>
      </c>
      <c r="AA75" s="38">
        <v>10613194</v>
      </c>
      <c r="AB75" s="38">
        <v>1313214</v>
      </c>
      <c r="AC75" s="38">
        <v>23465329</v>
      </c>
      <c r="AD75" s="38">
        <v>2729996</v>
      </c>
      <c r="AE75" s="38">
        <v>4923042</v>
      </c>
      <c r="AF75" s="38">
        <v>4578307</v>
      </c>
      <c r="AG75" s="38">
        <v>1581861</v>
      </c>
      <c r="AH75" s="38">
        <v>4156063</v>
      </c>
      <c r="AI75" s="38">
        <v>1552462</v>
      </c>
      <c r="AJ75" s="38">
        <v>39355</v>
      </c>
      <c r="AK75" s="26">
        <v>117270940</v>
      </c>
      <c r="AL75" s="38">
        <v>57033560</v>
      </c>
      <c r="AM75" s="38">
        <v>0</v>
      </c>
      <c r="AN75" s="38">
        <v>43922864</v>
      </c>
      <c r="AO75" s="38">
        <v>791918</v>
      </c>
      <c r="AP75" s="38">
        <v>37855</v>
      </c>
      <c r="AQ75" s="38">
        <v>0</v>
      </c>
      <c r="AR75" s="38">
        <v>21485525</v>
      </c>
      <c r="AS75" s="26">
        <v>123271722</v>
      </c>
      <c r="AT75" s="27">
        <v>240542662</v>
      </c>
      <c r="AU75" s="42">
        <v>218302817</v>
      </c>
      <c r="AV75" s="38">
        <v>22239838</v>
      </c>
      <c r="AW75" s="38">
        <v>7</v>
      </c>
      <c r="AX75" s="38">
        <v>22239845</v>
      </c>
      <c r="AY75" s="38">
        <v>0</v>
      </c>
      <c r="AZ75" s="38">
        <v>0</v>
      </c>
      <c r="BA75" s="27">
        <v>240542662</v>
      </c>
    </row>
    <row r="76" spans="1:53" ht="13.5" customHeight="1">
      <c r="A76" s="72" t="s">
        <v>74</v>
      </c>
      <c r="B76" s="77" t="s">
        <v>137</v>
      </c>
      <c r="C76" s="38">
        <v>1170064</v>
      </c>
      <c r="D76" s="38">
        <v>65479</v>
      </c>
      <c r="E76" s="38">
        <v>1831397</v>
      </c>
      <c r="F76" s="38">
        <v>1070524</v>
      </c>
      <c r="G76" s="38">
        <v>845742</v>
      </c>
      <c r="H76" s="38">
        <v>1187810</v>
      </c>
      <c r="I76" s="38">
        <f t="shared" si="3"/>
        <v>4178060.6066143108</v>
      </c>
      <c r="J76" s="73">
        <f t="shared" si="4"/>
        <v>5.3933856891768164</v>
      </c>
      <c r="K76" s="38">
        <v>684791</v>
      </c>
      <c r="L76" s="38">
        <v>1732784</v>
      </c>
      <c r="M76" s="38">
        <v>1829612</v>
      </c>
      <c r="N76" s="38">
        <v>2949714</v>
      </c>
      <c r="O76" s="38">
        <v>1708449</v>
      </c>
      <c r="P76" s="38">
        <v>2643984</v>
      </c>
      <c r="Q76" s="38">
        <v>3028415</v>
      </c>
      <c r="R76" s="38">
        <v>377441</v>
      </c>
      <c r="S76" s="38">
        <v>688620</v>
      </c>
      <c r="T76" s="38">
        <v>1513844</v>
      </c>
      <c r="U76" s="38">
        <v>716668</v>
      </c>
      <c r="V76" s="38">
        <v>4692734</v>
      </c>
      <c r="W76" s="38">
        <v>9394744</v>
      </c>
      <c r="X76" s="38">
        <v>2698034</v>
      </c>
      <c r="Y76" s="38">
        <v>3596568</v>
      </c>
      <c r="Z76" s="38">
        <v>2479141</v>
      </c>
      <c r="AA76" s="38">
        <v>42355592</v>
      </c>
      <c r="AB76" s="38">
        <v>21428865</v>
      </c>
      <c r="AC76" s="38">
        <v>3519114</v>
      </c>
      <c r="AD76" s="38">
        <v>1570014</v>
      </c>
      <c r="AE76" s="38">
        <v>4774938</v>
      </c>
      <c r="AF76" s="38">
        <v>3079717</v>
      </c>
      <c r="AG76" s="38">
        <v>4478359</v>
      </c>
      <c r="AH76" s="38">
        <v>1171943</v>
      </c>
      <c r="AI76" s="38">
        <v>1838555</v>
      </c>
      <c r="AJ76" s="38">
        <v>0</v>
      </c>
      <c r="AK76" s="26">
        <v>135301722</v>
      </c>
      <c r="AL76" s="38">
        <v>94642976</v>
      </c>
      <c r="AM76" s="38">
        <v>149222</v>
      </c>
      <c r="AN76" s="38">
        <v>0</v>
      </c>
      <c r="AO76" s="38">
        <v>0</v>
      </c>
      <c r="AP76" s="38">
        <v>0</v>
      </c>
      <c r="AQ76" s="38">
        <v>0</v>
      </c>
      <c r="AR76" s="38">
        <v>9183457</v>
      </c>
      <c r="AS76" s="26">
        <v>103975655</v>
      </c>
      <c r="AT76" s="27">
        <v>239277377</v>
      </c>
      <c r="AU76" s="42">
        <v>230943184</v>
      </c>
      <c r="AV76" s="38">
        <v>8334193</v>
      </c>
      <c r="AW76" s="38">
        <v>0</v>
      </c>
      <c r="AX76" s="38">
        <v>8334193</v>
      </c>
      <c r="AY76" s="38">
        <v>0</v>
      </c>
      <c r="AZ76" s="38">
        <v>0</v>
      </c>
      <c r="BA76" s="27">
        <v>239277377</v>
      </c>
    </row>
    <row r="77" spans="1:53" ht="13.5" customHeight="1">
      <c r="A77" s="72" t="s">
        <v>75</v>
      </c>
      <c r="B77" s="77" t="s">
        <v>76</v>
      </c>
      <c r="C77" s="38">
        <v>35782</v>
      </c>
      <c r="D77" s="38">
        <v>6525</v>
      </c>
      <c r="E77" s="38">
        <v>355125</v>
      </c>
      <c r="F77" s="38">
        <v>278962</v>
      </c>
      <c r="G77" s="38">
        <v>194301</v>
      </c>
      <c r="H77" s="38">
        <v>125920</v>
      </c>
      <c r="I77" s="38">
        <f t="shared" si="3"/>
        <v>476380.38504885562</v>
      </c>
      <c r="J77" s="73">
        <f t="shared" si="4"/>
        <v>0.61495114438013687</v>
      </c>
      <c r="K77" s="38">
        <v>68563</v>
      </c>
      <c r="L77" s="38">
        <v>208273</v>
      </c>
      <c r="M77" s="38">
        <v>211950</v>
      </c>
      <c r="N77" s="38">
        <v>350672</v>
      </c>
      <c r="O77" s="38">
        <v>334244</v>
      </c>
      <c r="P77" s="38">
        <v>210151</v>
      </c>
      <c r="Q77" s="38">
        <v>324469</v>
      </c>
      <c r="R77" s="38">
        <v>144474</v>
      </c>
      <c r="S77" s="38">
        <v>448306</v>
      </c>
      <c r="T77" s="38">
        <v>74004</v>
      </c>
      <c r="U77" s="38">
        <v>540288</v>
      </c>
      <c r="V77" s="38">
        <v>533213</v>
      </c>
      <c r="W77" s="38">
        <v>19558837</v>
      </c>
      <c r="X77" s="38">
        <v>1784815</v>
      </c>
      <c r="Y77" s="38">
        <v>10709339</v>
      </c>
      <c r="Z77" s="38">
        <v>2207460</v>
      </c>
      <c r="AA77" s="38">
        <v>3792337</v>
      </c>
      <c r="AB77" s="38">
        <v>7890746</v>
      </c>
      <c r="AC77" s="38">
        <v>9191886</v>
      </c>
      <c r="AD77" s="38">
        <v>2186463</v>
      </c>
      <c r="AE77" s="38">
        <v>1163421</v>
      </c>
      <c r="AF77" s="38">
        <v>3880427</v>
      </c>
      <c r="AG77" s="38">
        <v>4078970</v>
      </c>
      <c r="AH77" s="38">
        <v>633246</v>
      </c>
      <c r="AI77" s="38">
        <v>1824621</v>
      </c>
      <c r="AJ77" s="38">
        <v>3335</v>
      </c>
      <c r="AK77" s="26">
        <v>73827506</v>
      </c>
      <c r="AL77" s="38">
        <v>153308641</v>
      </c>
      <c r="AM77" s="38">
        <v>0</v>
      </c>
      <c r="AN77" s="38">
        <v>45947699</v>
      </c>
      <c r="AO77" s="38">
        <v>16733</v>
      </c>
      <c r="AP77" s="38">
        <v>0</v>
      </c>
      <c r="AQ77" s="38">
        <v>0</v>
      </c>
      <c r="AR77" s="38">
        <v>321254</v>
      </c>
      <c r="AS77" s="26">
        <v>199594327</v>
      </c>
      <c r="AT77" s="27">
        <v>273421833</v>
      </c>
      <c r="AU77" s="42">
        <v>271811087</v>
      </c>
      <c r="AV77" s="38">
        <v>1610746</v>
      </c>
      <c r="AW77" s="38">
        <v>0</v>
      </c>
      <c r="AX77" s="38">
        <v>1610746</v>
      </c>
      <c r="AY77" s="38">
        <v>0</v>
      </c>
      <c r="AZ77" s="38">
        <v>0</v>
      </c>
      <c r="BA77" s="27">
        <v>273421833</v>
      </c>
    </row>
    <row r="78" spans="1:53" ht="13.5" customHeight="1">
      <c r="A78" s="72" t="s">
        <v>77</v>
      </c>
      <c r="B78" s="77" t="s">
        <v>43</v>
      </c>
      <c r="C78" s="38">
        <v>1230473</v>
      </c>
      <c r="D78" s="38">
        <v>257566</v>
      </c>
      <c r="E78" s="38">
        <v>9618973</v>
      </c>
      <c r="F78" s="38">
        <v>1881685</v>
      </c>
      <c r="G78" s="38">
        <v>1682908</v>
      </c>
      <c r="H78" s="38">
        <v>3511875</v>
      </c>
      <c r="I78" s="38">
        <f t="shared" si="3"/>
        <v>18948028.540319879</v>
      </c>
      <c r="J78" s="73">
        <f t="shared" si="4"/>
        <v>24.459680121846766</v>
      </c>
      <c r="K78" s="38">
        <v>2179447</v>
      </c>
      <c r="L78" s="38">
        <v>7371240</v>
      </c>
      <c r="M78" s="38">
        <v>4295878</v>
      </c>
      <c r="N78" s="38">
        <v>11626563</v>
      </c>
      <c r="O78" s="38">
        <v>6823690</v>
      </c>
      <c r="P78" s="38">
        <v>7505694</v>
      </c>
      <c r="Q78" s="38">
        <v>12591254</v>
      </c>
      <c r="R78" s="38">
        <v>1360367</v>
      </c>
      <c r="S78" s="38">
        <v>3805291</v>
      </c>
      <c r="T78" s="38">
        <v>2280424</v>
      </c>
      <c r="U78" s="38">
        <v>2936927</v>
      </c>
      <c r="V78" s="38">
        <v>28622476</v>
      </c>
      <c r="W78" s="38">
        <v>22823766</v>
      </c>
      <c r="X78" s="38">
        <v>7912817</v>
      </c>
      <c r="Y78" s="38">
        <v>5094884</v>
      </c>
      <c r="Z78" s="38">
        <v>14986875</v>
      </c>
      <c r="AA78" s="38">
        <v>6840647</v>
      </c>
      <c r="AB78" s="38">
        <v>4227609</v>
      </c>
      <c r="AC78" s="38">
        <v>24810456</v>
      </c>
      <c r="AD78" s="38">
        <v>6999656</v>
      </c>
      <c r="AE78" s="38">
        <v>3481462</v>
      </c>
      <c r="AF78" s="38">
        <v>4600680</v>
      </c>
      <c r="AG78" s="38">
        <v>1629722</v>
      </c>
      <c r="AH78" s="38">
        <v>1508855</v>
      </c>
      <c r="AI78" s="38">
        <v>2418433</v>
      </c>
      <c r="AJ78" s="38">
        <v>7349</v>
      </c>
      <c r="AK78" s="26">
        <v>235873995</v>
      </c>
      <c r="AL78" s="38">
        <v>6460233</v>
      </c>
      <c r="AM78" s="38">
        <v>0</v>
      </c>
      <c r="AN78" s="38">
        <v>104012843</v>
      </c>
      <c r="AO78" s="38">
        <v>15365704</v>
      </c>
      <c r="AP78" s="38">
        <v>0</v>
      </c>
      <c r="AQ78" s="38">
        <v>0</v>
      </c>
      <c r="AR78" s="38">
        <v>31221303</v>
      </c>
      <c r="AS78" s="26">
        <v>157060083</v>
      </c>
      <c r="AT78" s="27">
        <v>392934078</v>
      </c>
      <c r="AU78" s="42">
        <v>355695360</v>
      </c>
      <c r="AV78" s="38">
        <v>37238718</v>
      </c>
      <c r="AW78" s="38">
        <v>0</v>
      </c>
      <c r="AX78" s="38">
        <v>37238718</v>
      </c>
      <c r="AY78" s="38">
        <v>0</v>
      </c>
      <c r="AZ78" s="38">
        <v>0</v>
      </c>
      <c r="BA78" s="27">
        <v>392934078</v>
      </c>
    </row>
    <row r="79" spans="1:53" ht="13.5" customHeight="1">
      <c r="A79" s="72" t="s">
        <v>78</v>
      </c>
      <c r="B79" s="77" t="s">
        <v>18</v>
      </c>
      <c r="C79" s="38">
        <v>232607</v>
      </c>
      <c r="D79" s="38">
        <v>256192</v>
      </c>
      <c r="E79" s="38">
        <v>888725</v>
      </c>
      <c r="F79" s="38">
        <v>524167</v>
      </c>
      <c r="G79" s="38">
        <v>659457</v>
      </c>
      <c r="H79" s="38">
        <v>811324</v>
      </c>
      <c r="I79" s="38">
        <f t="shared" si="3"/>
        <v>1947729.4857099205</v>
      </c>
      <c r="J79" s="73">
        <f t="shared" si="4"/>
        <v>2.5142900794654124</v>
      </c>
      <c r="K79" s="38">
        <v>341697</v>
      </c>
      <c r="L79" s="38">
        <v>2356312</v>
      </c>
      <c r="M79" s="38">
        <v>1409721</v>
      </c>
      <c r="N79" s="38">
        <v>2786694</v>
      </c>
      <c r="O79" s="38">
        <v>1013169</v>
      </c>
      <c r="P79" s="38">
        <v>895704</v>
      </c>
      <c r="Q79" s="38">
        <v>4645446</v>
      </c>
      <c r="R79" s="38">
        <v>216223</v>
      </c>
      <c r="S79" s="38">
        <v>4217670</v>
      </c>
      <c r="T79" s="38">
        <v>1358339</v>
      </c>
      <c r="U79" s="38">
        <v>1595665</v>
      </c>
      <c r="V79" s="38">
        <v>9747820</v>
      </c>
      <c r="W79" s="38">
        <v>13062215</v>
      </c>
      <c r="X79" s="38">
        <v>12267348</v>
      </c>
      <c r="Y79" s="38">
        <v>1916900</v>
      </c>
      <c r="Z79" s="38">
        <v>9694849</v>
      </c>
      <c r="AA79" s="38">
        <v>9964464</v>
      </c>
      <c r="AB79" s="38">
        <v>12003595</v>
      </c>
      <c r="AC79" s="38">
        <v>17187438</v>
      </c>
      <c r="AD79" s="38">
        <v>12801755</v>
      </c>
      <c r="AE79" s="38">
        <v>5960451</v>
      </c>
      <c r="AF79" s="38">
        <v>3886241</v>
      </c>
      <c r="AG79" s="38">
        <v>3157354</v>
      </c>
      <c r="AH79" s="38">
        <v>3473401</v>
      </c>
      <c r="AI79" s="38">
        <v>928798</v>
      </c>
      <c r="AJ79" s="38">
        <v>5248</v>
      </c>
      <c r="AK79" s="26">
        <v>142214721</v>
      </c>
      <c r="AL79" s="38">
        <v>8531599</v>
      </c>
      <c r="AM79" s="38">
        <v>0</v>
      </c>
      <c r="AN79" s="38">
        <v>0</v>
      </c>
      <c r="AO79" s="38">
        <v>0</v>
      </c>
      <c r="AP79" s="38">
        <v>0</v>
      </c>
      <c r="AQ79" s="38">
        <v>0</v>
      </c>
      <c r="AR79" s="38">
        <v>15690205</v>
      </c>
      <c r="AS79" s="26">
        <v>24221804</v>
      </c>
      <c r="AT79" s="27">
        <v>166436525</v>
      </c>
      <c r="AU79" s="42">
        <v>144310956</v>
      </c>
      <c r="AV79" s="38">
        <v>22125569</v>
      </c>
      <c r="AW79" s="38">
        <v>0</v>
      </c>
      <c r="AX79" s="38">
        <v>22125569</v>
      </c>
      <c r="AY79" s="38">
        <v>0</v>
      </c>
      <c r="AZ79" s="38">
        <v>0</v>
      </c>
      <c r="BA79" s="27">
        <v>166436525</v>
      </c>
    </row>
    <row r="80" spans="1:53" ht="13.5" customHeight="1">
      <c r="A80" s="72" t="s">
        <v>79</v>
      </c>
      <c r="B80" s="77" t="s">
        <v>80</v>
      </c>
      <c r="C80" s="38">
        <v>109126</v>
      </c>
      <c r="D80" s="38">
        <v>0</v>
      </c>
      <c r="E80" s="38">
        <v>0</v>
      </c>
      <c r="F80" s="38">
        <v>0</v>
      </c>
      <c r="G80" s="38">
        <v>0</v>
      </c>
      <c r="H80" s="38">
        <v>0</v>
      </c>
      <c r="I80" s="38">
        <f t="shared" si="3"/>
        <v>0</v>
      </c>
      <c r="J80" s="73">
        <f t="shared" si="4"/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8">
        <v>0</v>
      </c>
      <c r="X80" s="38">
        <v>658474</v>
      </c>
      <c r="Y80" s="38">
        <v>0</v>
      </c>
      <c r="Z80" s="38">
        <v>0</v>
      </c>
      <c r="AA80" s="38">
        <v>0</v>
      </c>
      <c r="AB80" s="38">
        <v>0</v>
      </c>
      <c r="AC80" s="38">
        <v>0</v>
      </c>
      <c r="AD80" s="38">
        <v>0</v>
      </c>
      <c r="AE80" s="38">
        <v>0</v>
      </c>
      <c r="AF80" s="38">
        <v>0</v>
      </c>
      <c r="AG80" s="38">
        <v>0</v>
      </c>
      <c r="AH80" s="38">
        <v>0</v>
      </c>
      <c r="AI80" s="38">
        <v>0</v>
      </c>
      <c r="AJ80" s="38">
        <v>4326091</v>
      </c>
      <c r="AK80" s="26">
        <v>5093691</v>
      </c>
      <c r="AL80" s="38">
        <v>4098405</v>
      </c>
      <c r="AM80" s="38">
        <v>193826946</v>
      </c>
      <c r="AN80" s="38">
        <v>0</v>
      </c>
      <c r="AO80" s="38">
        <v>0</v>
      </c>
      <c r="AP80" s="38">
        <v>0</v>
      </c>
      <c r="AQ80" s="38">
        <v>0</v>
      </c>
      <c r="AR80" s="38">
        <v>34003</v>
      </c>
      <c r="AS80" s="26">
        <v>197959354</v>
      </c>
      <c r="AT80" s="27">
        <v>203053045</v>
      </c>
      <c r="AU80" s="42">
        <v>202555649</v>
      </c>
      <c r="AV80" s="38">
        <v>497396</v>
      </c>
      <c r="AW80" s="38">
        <v>0</v>
      </c>
      <c r="AX80" s="38">
        <v>497396</v>
      </c>
      <c r="AY80" s="38">
        <v>0</v>
      </c>
      <c r="AZ80" s="38">
        <v>0</v>
      </c>
      <c r="BA80" s="27">
        <v>203053045</v>
      </c>
    </row>
    <row r="81" spans="1:53" ht="13.5" customHeight="1">
      <c r="A81" s="72" t="s">
        <v>81</v>
      </c>
      <c r="B81" s="77" t="s">
        <v>19</v>
      </c>
      <c r="C81" s="38">
        <v>3254</v>
      </c>
      <c r="D81" s="38">
        <v>1120</v>
      </c>
      <c r="E81" s="38">
        <v>41844</v>
      </c>
      <c r="F81" s="38">
        <v>10830</v>
      </c>
      <c r="G81" s="38">
        <v>22754</v>
      </c>
      <c r="H81" s="38">
        <v>31935</v>
      </c>
      <c r="I81" s="38">
        <f t="shared" si="3"/>
        <v>135395.82521988673</v>
      </c>
      <c r="J81" s="73">
        <f t="shared" si="4"/>
        <v>0.17478011328011189</v>
      </c>
      <c r="K81" s="38">
        <v>20017</v>
      </c>
      <c r="L81" s="38">
        <v>81546</v>
      </c>
      <c r="M81" s="38">
        <v>107012</v>
      </c>
      <c r="N81" s="38">
        <v>83896</v>
      </c>
      <c r="O81" s="38">
        <v>77682</v>
      </c>
      <c r="P81" s="38">
        <v>102937</v>
      </c>
      <c r="Q81" s="38">
        <v>65511</v>
      </c>
      <c r="R81" s="38">
        <v>4493</v>
      </c>
      <c r="S81" s="38">
        <v>252388</v>
      </c>
      <c r="T81" s="38">
        <v>25845</v>
      </c>
      <c r="U81" s="38">
        <v>25311</v>
      </c>
      <c r="V81" s="38">
        <v>73874</v>
      </c>
      <c r="W81" s="38">
        <v>864077</v>
      </c>
      <c r="X81" s="38">
        <v>69496</v>
      </c>
      <c r="Y81" s="38">
        <v>93517</v>
      </c>
      <c r="Z81" s="38">
        <v>149972</v>
      </c>
      <c r="AA81" s="38">
        <v>339905</v>
      </c>
      <c r="AB81" s="38">
        <v>184460</v>
      </c>
      <c r="AC81" s="38">
        <v>421279</v>
      </c>
      <c r="AD81" s="38">
        <v>83397</v>
      </c>
      <c r="AE81" s="38">
        <v>15198</v>
      </c>
      <c r="AF81" s="38">
        <v>76153</v>
      </c>
      <c r="AG81" s="38">
        <v>24040</v>
      </c>
      <c r="AH81" s="38">
        <v>21001</v>
      </c>
      <c r="AI81" s="38">
        <v>93883</v>
      </c>
      <c r="AJ81" s="38">
        <v>676</v>
      </c>
      <c r="AK81" s="26">
        <v>3604699</v>
      </c>
      <c r="AL81" s="38">
        <v>63476835</v>
      </c>
      <c r="AM81" s="38">
        <v>89090202</v>
      </c>
      <c r="AN81" s="38">
        <v>0</v>
      </c>
      <c r="AO81" s="38">
        <v>0</v>
      </c>
      <c r="AP81" s="38">
        <v>0</v>
      </c>
      <c r="AQ81" s="38">
        <v>0</v>
      </c>
      <c r="AR81" s="38">
        <v>319935</v>
      </c>
      <c r="AS81" s="26">
        <v>152886972</v>
      </c>
      <c r="AT81" s="27">
        <v>156491671</v>
      </c>
      <c r="AU81" s="42">
        <v>154338997</v>
      </c>
      <c r="AV81" s="38">
        <v>2152674</v>
      </c>
      <c r="AW81" s="38">
        <v>0</v>
      </c>
      <c r="AX81" s="38">
        <v>2152674</v>
      </c>
      <c r="AY81" s="38">
        <v>0</v>
      </c>
      <c r="AZ81" s="38">
        <v>0</v>
      </c>
      <c r="BA81" s="27">
        <v>156491671</v>
      </c>
    </row>
    <row r="82" spans="1:53" ht="13.5" customHeight="1">
      <c r="A82" s="72" t="s">
        <v>82</v>
      </c>
      <c r="B82" s="77" t="s">
        <v>138</v>
      </c>
      <c r="C82" s="38">
        <v>84351</v>
      </c>
      <c r="D82" s="38">
        <v>14497</v>
      </c>
      <c r="E82" s="38">
        <v>128422</v>
      </c>
      <c r="F82" s="38">
        <v>54243</v>
      </c>
      <c r="G82" s="38">
        <v>69491</v>
      </c>
      <c r="H82" s="38">
        <v>32427</v>
      </c>
      <c r="I82" s="38">
        <f t="shared" si="3"/>
        <v>217064.71979493272</v>
      </c>
      <c r="J82" s="73">
        <f t="shared" si="4"/>
        <v>0.2802050672778183</v>
      </c>
      <c r="K82" s="38">
        <v>42381</v>
      </c>
      <c r="L82" s="38">
        <v>112512</v>
      </c>
      <c r="M82" s="38">
        <v>173400</v>
      </c>
      <c r="N82" s="38">
        <v>151296</v>
      </c>
      <c r="O82" s="38">
        <v>118630</v>
      </c>
      <c r="P82" s="38">
        <v>214771</v>
      </c>
      <c r="Q82" s="38">
        <v>276179</v>
      </c>
      <c r="R82" s="38">
        <v>30648</v>
      </c>
      <c r="S82" s="38">
        <v>207648</v>
      </c>
      <c r="T82" s="38">
        <v>36827</v>
      </c>
      <c r="U82" s="38">
        <v>141683</v>
      </c>
      <c r="V82" s="38">
        <v>396109</v>
      </c>
      <c r="W82" s="38">
        <v>1295505</v>
      </c>
      <c r="X82" s="38">
        <v>149288</v>
      </c>
      <c r="Y82" s="38">
        <v>490823</v>
      </c>
      <c r="Z82" s="38">
        <v>305107</v>
      </c>
      <c r="AA82" s="38">
        <v>427331</v>
      </c>
      <c r="AB82" s="38">
        <v>224359</v>
      </c>
      <c r="AC82" s="38">
        <v>779138</v>
      </c>
      <c r="AD82" s="38">
        <v>272949</v>
      </c>
      <c r="AE82" s="38">
        <v>74029</v>
      </c>
      <c r="AF82" s="38">
        <v>294134</v>
      </c>
      <c r="AG82" s="38">
        <v>548317</v>
      </c>
      <c r="AH82" s="38">
        <v>203582</v>
      </c>
      <c r="AI82" s="38">
        <v>166511</v>
      </c>
      <c r="AJ82" s="38">
        <v>853</v>
      </c>
      <c r="AK82" s="26">
        <v>7734506</v>
      </c>
      <c r="AL82" s="38">
        <v>74155571</v>
      </c>
      <c r="AM82" s="38">
        <v>136924224</v>
      </c>
      <c r="AN82" s="38">
        <v>0</v>
      </c>
      <c r="AO82" s="38">
        <v>0</v>
      </c>
      <c r="AP82" s="38">
        <v>0</v>
      </c>
      <c r="AQ82" s="38">
        <v>0</v>
      </c>
      <c r="AR82" s="38">
        <v>766926</v>
      </c>
      <c r="AS82" s="26">
        <v>211846721</v>
      </c>
      <c r="AT82" s="27">
        <v>219581227</v>
      </c>
      <c r="AU82" s="42">
        <v>219151203</v>
      </c>
      <c r="AV82" s="38">
        <v>430024</v>
      </c>
      <c r="AW82" s="38">
        <v>0</v>
      </c>
      <c r="AX82" s="38">
        <v>430024</v>
      </c>
      <c r="AY82" s="38">
        <v>0</v>
      </c>
      <c r="AZ82" s="38">
        <v>0</v>
      </c>
      <c r="BA82" s="27">
        <v>219581227</v>
      </c>
    </row>
    <row r="83" spans="1:53" ht="13.5" customHeight="1">
      <c r="A83" s="72" t="s">
        <v>84</v>
      </c>
      <c r="B83" s="77" t="s">
        <v>85</v>
      </c>
      <c r="C83" s="38">
        <v>65624</v>
      </c>
      <c r="D83" s="38">
        <v>36520</v>
      </c>
      <c r="E83" s="38">
        <v>133790</v>
      </c>
      <c r="F83" s="38">
        <v>96597</v>
      </c>
      <c r="G83" s="38">
        <v>97174</v>
      </c>
      <c r="H83" s="38">
        <v>65952</v>
      </c>
      <c r="I83" s="38">
        <f t="shared" si="3"/>
        <v>329183.57506265468</v>
      </c>
      <c r="J83" s="73">
        <f t="shared" si="4"/>
        <v>0.4249373453425534</v>
      </c>
      <c r="K83" s="38">
        <v>64236</v>
      </c>
      <c r="L83" s="38">
        <v>260337</v>
      </c>
      <c r="M83" s="38">
        <v>250041</v>
      </c>
      <c r="N83" s="38">
        <v>128017</v>
      </c>
      <c r="O83" s="38">
        <v>127452</v>
      </c>
      <c r="P83" s="38">
        <v>225010</v>
      </c>
      <c r="Q83" s="38">
        <v>112948</v>
      </c>
      <c r="R83" s="38">
        <v>33023</v>
      </c>
      <c r="S83" s="38">
        <v>270400</v>
      </c>
      <c r="T83" s="38">
        <v>55450</v>
      </c>
      <c r="U83" s="38">
        <v>123625</v>
      </c>
      <c r="V83" s="38">
        <v>262368</v>
      </c>
      <c r="W83" s="38">
        <v>388876</v>
      </c>
      <c r="X83" s="38">
        <v>637782</v>
      </c>
      <c r="Y83" s="38">
        <v>136211</v>
      </c>
      <c r="Z83" s="38">
        <v>2065257</v>
      </c>
      <c r="AA83" s="38">
        <v>623398</v>
      </c>
      <c r="AB83" s="38">
        <v>269687</v>
      </c>
      <c r="AC83" s="38">
        <v>1931388</v>
      </c>
      <c r="AD83" s="38">
        <v>535378</v>
      </c>
      <c r="AE83" s="38">
        <v>166633</v>
      </c>
      <c r="AF83" s="38">
        <v>1103277</v>
      </c>
      <c r="AG83" s="38">
        <v>340119</v>
      </c>
      <c r="AH83" s="38">
        <v>2691433</v>
      </c>
      <c r="AI83" s="38">
        <v>369181</v>
      </c>
      <c r="AJ83" s="38">
        <v>1604</v>
      </c>
      <c r="AK83" s="26">
        <v>13997972</v>
      </c>
      <c r="AL83" s="38">
        <v>46878460</v>
      </c>
      <c r="AM83" s="38">
        <v>4781313</v>
      </c>
      <c r="AN83" s="38">
        <v>1094342</v>
      </c>
      <c r="AO83" s="38">
        <v>0</v>
      </c>
      <c r="AP83" s="38">
        <v>0</v>
      </c>
      <c r="AQ83" s="38">
        <v>1272</v>
      </c>
      <c r="AR83" s="38">
        <v>2880068</v>
      </c>
      <c r="AS83" s="26">
        <v>55635455</v>
      </c>
      <c r="AT83" s="27">
        <v>69633427</v>
      </c>
      <c r="AU83" s="42">
        <v>64700619</v>
      </c>
      <c r="AV83" s="38">
        <v>4932672</v>
      </c>
      <c r="AW83" s="38">
        <v>136</v>
      </c>
      <c r="AX83" s="38">
        <v>4932808</v>
      </c>
      <c r="AY83" s="38">
        <v>0</v>
      </c>
      <c r="AZ83" s="38">
        <v>0</v>
      </c>
      <c r="BA83" s="27">
        <v>69633427</v>
      </c>
    </row>
    <row r="84" spans="1:53" ht="13.5" customHeight="1">
      <c r="A84" s="72" t="s">
        <v>86</v>
      </c>
      <c r="B84" s="77" t="s">
        <v>87</v>
      </c>
      <c r="C84" s="38">
        <v>99840</v>
      </c>
      <c r="D84" s="38">
        <v>31140</v>
      </c>
      <c r="E84" s="38">
        <v>298331</v>
      </c>
      <c r="F84" s="38">
        <v>102590</v>
      </c>
      <c r="G84" s="38">
        <v>112019</v>
      </c>
      <c r="H84" s="38">
        <v>149736</v>
      </c>
      <c r="I84" s="38">
        <f t="shared" si="3"/>
        <v>383962.50434948865</v>
      </c>
      <c r="J84" s="73">
        <f t="shared" si="4"/>
        <v>0.49565051135463106</v>
      </c>
      <c r="K84" s="38">
        <v>138133</v>
      </c>
      <c r="L84" s="38">
        <v>363796</v>
      </c>
      <c r="M84" s="38">
        <v>358040</v>
      </c>
      <c r="N84" s="38">
        <v>430903</v>
      </c>
      <c r="O84" s="38">
        <v>295152</v>
      </c>
      <c r="P84" s="38">
        <v>412933</v>
      </c>
      <c r="Q84" s="38">
        <v>351127</v>
      </c>
      <c r="R84" s="38">
        <v>37455</v>
      </c>
      <c r="S84" s="38">
        <v>625262</v>
      </c>
      <c r="T84" s="38">
        <v>66845</v>
      </c>
      <c r="U84" s="38">
        <v>363837</v>
      </c>
      <c r="V84" s="38">
        <v>595101</v>
      </c>
      <c r="W84" s="38">
        <v>3558930</v>
      </c>
      <c r="X84" s="38">
        <v>3307975</v>
      </c>
      <c r="Y84" s="38">
        <v>647051</v>
      </c>
      <c r="Z84" s="38">
        <v>731847</v>
      </c>
      <c r="AA84" s="38">
        <v>931008</v>
      </c>
      <c r="AB84" s="38">
        <v>440411</v>
      </c>
      <c r="AC84" s="38">
        <v>2658213</v>
      </c>
      <c r="AD84" s="38">
        <v>1459730</v>
      </c>
      <c r="AE84" s="38">
        <v>355554</v>
      </c>
      <c r="AF84" s="38">
        <v>1314276</v>
      </c>
      <c r="AG84" s="38">
        <v>438915</v>
      </c>
      <c r="AH84" s="38">
        <v>521658</v>
      </c>
      <c r="AI84" s="38">
        <v>630784</v>
      </c>
      <c r="AJ84" s="38">
        <v>843</v>
      </c>
      <c r="AK84" s="26">
        <v>22213398</v>
      </c>
      <c r="AL84" s="38">
        <v>59295383</v>
      </c>
      <c r="AM84" s="38">
        <v>0</v>
      </c>
      <c r="AN84" s="38">
        <v>0</v>
      </c>
      <c r="AO84" s="38">
        <v>0</v>
      </c>
      <c r="AP84" s="38">
        <v>0</v>
      </c>
      <c r="AQ84" s="38">
        <v>0</v>
      </c>
      <c r="AR84" s="38">
        <v>1747533</v>
      </c>
      <c r="AS84" s="26">
        <v>61042916</v>
      </c>
      <c r="AT84" s="27">
        <v>83256314</v>
      </c>
      <c r="AU84" s="42">
        <v>81600115</v>
      </c>
      <c r="AV84" s="38">
        <v>1656199</v>
      </c>
      <c r="AW84" s="38">
        <v>0</v>
      </c>
      <c r="AX84" s="38">
        <v>1656199</v>
      </c>
      <c r="AY84" s="38">
        <v>0</v>
      </c>
      <c r="AZ84" s="38">
        <v>0</v>
      </c>
      <c r="BA84" s="27">
        <v>83256314</v>
      </c>
    </row>
    <row r="85" spans="1:53" ht="13.5" customHeight="1">
      <c r="A85" s="72" t="s">
        <v>88</v>
      </c>
      <c r="B85" s="77" t="s">
        <v>89</v>
      </c>
      <c r="C85" s="38">
        <v>269414</v>
      </c>
      <c r="D85" s="38">
        <v>15963</v>
      </c>
      <c r="E85" s="38">
        <v>83286</v>
      </c>
      <c r="F85" s="38">
        <v>18483</v>
      </c>
      <c r="G85" s="38">
        <v>75392</v>
      </c>
      <c r="H85" s="38">
        <v>137738</v>
      </c>
      <c r="I85" s="38">
        <f t="shared" si="3"/>
        <v>792650.97678065568</v>
      </c>
      <c r="J85" s="73">
        <f t="shared" si="4"/>
        <v>1.0232193443802422</v>
      </c>
      <c r="K85" s="38">
        <v>23147</v>
      </c>
      <c r="L85" s="38">
        <v>42575</v>
      </c>
      <c r="M85" s="38">
        <v>131618</v>
      </c>
      <c r="N85" s="38">
        <v>63701</v>
      </c>
      <c r="O85" s="38">
        <v>54728</v>
      </c>
      <c r="P85" s="38">
        <v>91336</v>
      </c>
      <c r="Q85" s="38">
        <v>23958</v>
      </c>
      <c r="R85" s="38">
        <v>18948</v>
      </c>
      <c r="S85" s="38">
        <v>433554</v>
      </c>
      <c r="T85" s="38">
        <v>142445</v>
      </c>
      <c r="U85" s="38">
        <v>40948</v>
      </c>
      <c r="V85" s="38">
        <v>32265</v>
      </c>
      <c r="W85" s="38">
        <v>492128</v>
      </c>
      <c r="X85" s="38">
        <v>55217</v>
      </c>
      <c r="Y85" s="38">
        <v>250478</v>
      </c>
      <c r="Z85" s="38">
        <v>428335</v>
      </c>
      <c r="AA85" s="38">
        <v>58639</v>
      </c>
      <c r="AB85" s="38">
        <v>537173</v>
      </c>
      <c r="AC85" s="38">
        <v>239556</v>
      </c>
      <c r="AD85" s="38">
        <v>179839</v>
      </c>
      <c r="AE85" s="38">
        <v>45902</v>
      </c>
      <c r="AF85" s="38">
        <v>36693</v>
      </c>
      <c r="AG85" s="38">
        <v>373801</v>
      </c>
      <c r="AH85" s="38">
        <v>101652</v>
      </c>
      <c r="AI85" s="38">
        <v>54194</v>
      </c>
      <c r="AJ85" s="38">
        <v>109679</v>
      </c>
      <c r="AK85" s="26">
        <v>5455437</v>
      </c>
      <c r="AL85" s="38">
        <v>-435478</v>
      </c>
      <c r="AM85" s="38">
        <v>0</v>
      </c>
      <c r="AN85" s="38">
        <v>0</v>
      </c>
      <c r="AO85" s="38">
        <v>0</v>
      </c>
      <c r="AP85" s="38">
        <v>0</v>
      </c>
      <c r="AQ85" s="38">
        <v>0</v>
      </c>
      <c r="AR85" s="38">
        <v>0</v>
      </c>
      <c r="AS85" s="26">
        <v>-435478</v>
      </c>
      <c r="AT85" s="27">
        <v>5019959</v>
      </c>
      <c r="AU85" s="42">
        <v>5019959</v>
      </c>
      <c r="AV85" s="38">
        <v>0</v>
      </c>
      <c r="AW85" s="38">
        <v>0</v>
      </c>
      <c r="AX85" s="38">
        <v>0</v>
      </c>
      <c r="AY85" s="38">
        <v>0</v>
      </c>
      <c r="AZ85" s="38">
        <v>0</v>
      </c>
      <c r="BA85" s="27">
        <v>5019959</v>
      </c>
    </row>
    <row r="86" spans="1:53" ht="13.5" customHeight="1">
      <c r="A86" s="91" t="s">
        <v>91</v>
      </c>
      <c r="B86" s="92" t="s">
        <v>20</v>
      </c>
      <c r="C86" s="40">
        <v>39166528</v>
      </c>
      <c r="D86" s="40">
        <v>3169491</v>
      </c>
      <c r="E86" s="40">
        <v>139457033</v>
      </c>
      <c r="F86" s="40">
        <v>57298913</v>
      </c>
      <c r="G86" s="40">
        <v>39700938</v>
      </c>
      <c r="H86" s="40">
        <v>143573392</v>
      </c>
      <c r="I86" s="38">
        <f t="shared" si="3"/>
        <v>285565160.99999994</v>
      </c>
      <c r="J86" s="73">
        <f t="shared" si="4"/>
        <v>650.00000000000011</v>
      </c>
      <c r="K86" s="40">
        <v>37404675</v>
      </c>
      <c r="L86" s="40">
        <v>154477519</v>
      </c>
      <c r="M86" s="40">
        <v>92011168</v>
      </c>
      <c r="N86" s="40">
        <v>221737214</v>
      </c>
      <c r="O86" s="40">
        <v>135088695</v>
      </c>
      <c r="P86" s="40">
        <v>138660261</v>
      </c>
      <c r="Q86" s="40">
        <v>269883451</v>
      </c>
      <c r="R86" s="40">
        <v>21105797</v>
      </c>
      <c r="S86" s="40">
        <v>51124252</v>
      </c>
      <c r="T86" s="40">
        <v>120649253</v>
      </c>
      <c r="U86" s="40">
        <v>23032194</v>
      </c>
      <c r="V86" s="40">
        <v>199251516</v>
      </c>
      <c r="W86" s="40">
        <v>184102011</v>
      </c>
      <c r="X86" s="40">
        <v>125178243</v>
      </c>
      <c r="Y86" s="40">
        <v>150662761</v>
      </c>
      <c r="Z86" s="40">
        <v>104063290</v>
      </c>
      <c r="AA86" s="40">
        <v>86678547</v>
      </c>
      <c r="AB86" s="40">
        <v>81055631</v>
      </c>
      <c r="AC86" s="40">
        <v>170997641</v>
      </c>
      <c r="AD86" s="40">
        <v>56091961</v>
      </c>
      <c r="AE86" s="40">
        <v>52243921</v>
      </c>
      <c r="AF86" s="40">
        <v>51016928</v>
      </c>
      <c r="AG86" s="40">
        <v>90583511</v>
      </c>
      <c r="AH86" s="40">
        <v>28521048</v>
      </c>
      <c r="AI86" s="40">
        <v>44847605</v>
      </c>
      <c r="AJ86" s="40">
        <v>5019959</v>
      </c>
      <c r="AK86" s="41">
        <v>3403421158</v>
      </c>
      <c r="AL86" s="40">
        <v>1203106723</v>
      </c>
      <c r="AM86" s="40">
        <v>428148599</v>
      </c>
      <c r="AN86" s="40">
        <v>642719412</v>
      </c>
      <c r="AO86" s="40">
        <v>114740934</v>
      </c>
      <c r="AP86" s="40">
        <v>8456630</v>
      </c>
      <c r="AQ86" s="40">
        <v>2242835</v>
      </c>
      <c r="AR86" s="40">
        <v>999815735</v>
      </c>
      <c r="AS86" s="41">
        <v>3399230868</v>
      </c>
      <c r="AT86" s="93">
        <v>6802652026</v>
      </c>
      <c r="AU86" s="94">
        <v>5786694739</v>
      </c>
      <c r="AV86" s="40">
        <v>990543488</v>
      </c>
      <c r="AW86" s="40">
        <v>25413799</v>
      </c>
      <c r="AX86" s="40">
        <v>1015957287</v>
      </c>
      <c r="AY86" s="40">
        <v>0</v>
      </c>
      <c r="AZ86" s="40">
        <v>0</v>
      </c>
      <c r="BA86" s="93">
        <v>6802652026</v>
      </c>
    </row>
    <row r="87" spans="1:53" ht="13.5" customHeight="1">
      <c r="A87" s="95" t="s">
        <v>92</v>
      </c>
      <c r="B87" s="73" t="s">
        <v>21</v>
      </c>
      <c r="C87" s="38">
        <v>7311007</v>
      </c>
      <c r="D87" s="38">
        <v>763130</v>
      </c>
      <c r="E87" s="38">
        <v>15128140</v>
      </c>
      <c r="F87" s="38">
        <v>6942083</v>
      </c>
      <c r="G87" s="38">
        <v>7714470</v>
      </c>
      <c r="H87" s="38">
        <v>1849380</v>
      </c>
      <c r="I87" s="38">
        <f t="shared" si="3"/>
        <v>33024739</v>
      </c>
      <c r="J87" s="73">
        <f t="shared" si="4"/>
        <v>200</v>
      </c>
      <c r="K87" s="38">
        <v>5591739</v>
      </c>
      <c r="L87" s="38">
        <v>12874780</v>
      </c>
      <c r="M87" s="38">
        <v>22094377</v>
      </c>
      <c r="N87" s="38">
        <v>38330264</v>
      </c>
      <c r="O87" s="38">
        <v>18684449</v>
      </c>
      <c r="P87" s="38">
        <v>28417504</v>
      </c>
      <c r="Q87" s="38">
        <v>24629085</v>
      </c>
      <c r="R87" s="38">
        <v>4430442</v>
      </c>
      <c r="S87" s="38">
        <v>30392667</v>
      </c>
      <c r="T87" s="38">
        <v>7229124</v>
      </c>
      <c r="U87" s="38">
        <v>9301644</v>
      </c>
      <c r="V87" s="38">
        <v>108270135</v>
      </c>
      <c r="W87" s="38">
        <v>105848898</v>
      </c>
      <c r="X87" s="38">
        <v>45972783</v>
      </c>
      <c r="Y87" s="38">
        <v>37217436</v>
      </c>
      <c r="Z87" s="38">
        <v>48448668</v>
      </c>
      <c r="AA87" s="38">
        <v>52077047</v>
      </c>
      <c r="AB87" s="38">
        <v>23572589</v>
      </c>
      <c r="AC87" s="38">
        <v>119508944</v>
      </c>
      <c r="AD87" s="38">
        <v>53019085</v>
      </c>
      <c r="AE87" s="38">
        <v>89879718</v>
      </c>
      <c r="AF87" s="38">
        <v>84723533</v>
      </c>
      <c r="AG87" s="38">
        <v>91542475</v>
      </c>
      <c r="AH87" s="38">
        <v>14325783</v>
      </c>
      <c r="AI87" s="38">
        <v>21260262</v>
      </c>
      <c r="AJ87" s="38">
        <v>0</v>
      </c>
      <c r="AK87" s="26">
        <v>1170376580</v>
      </c>
      <c r="AL87" s="29"/>
      <c r="AM87" s="29"/>
      <c r="AN87" s="29"/>
      <c r="AO87" s="29"/>
      <c r="AP87" s="29"/>
      <c r="AQ87" s="29"/>
      <c r="AR87" s="29"/>
      <c r="AS87" s="29"/>
      <c r="AT87" s="29"/>
      <c r="AU87" s="30"/>
      <c r="AV87" s="30"/>
      <c r="AW87" s="30"/>
      <c r="AX87" s="30"/>
      <c r="AY87" s="30"/>
      <c r="AZ87" s="30"/>
      <c r="BA87" s="30"/>
    </row>
    <row r="88" spans="1:53" ht="13.5" customHeight="1">
      <c r="A88" s="95" t="s">
        <v>93</v>
      </c>
      <c r="B88" s="73" t="s">
        <v>22</v>
      </c>
      <c r="C88" s="38">
        <v>20790625</v>
      </c>
      <c r="D88" s="38">
        <v>907945</v>
      </c>
      <c r="E88" s="38">
        <v>6246706</v>
      </c>
      <c r="F88" s="38">
        <v>1230526</v>
      </c>
      <c r="G88" s="38">
        <v>5894202</v>
      </c>
      <c r="H88" s="38">
        <v>10160438</v>
      </c>
      <c r="I88" s="38">
        <f t="shared" si="3"/>
        <v>26725352</v>
      </c>
      <c r="J88" s="73">
        <f t="shared" si="4"/>
        <v>100</v>
      </c>
      <c r="K88" s="38">
        <v>2061144</v>
      </c>
      <c r="L88" s="38">
        <v>12662963</v>
      </c>
      <c r="M88" s="38">
        <v>15468441</v>
      </c>
      <c r="N88" s="38">
        <v>-2691522</v>
      </c>
      <c r="O88" s="38">
        <v>509104</v>
      </c>
      <c r="P88" s="38">
        <v>5170759</v>
      </c>
      <c r="Q88" s="38">
        <v>8332412</v>
      </c>
      <c r="R88" s="38">
        <v>1502834</v>
      </c>
      <c r="S88" s="38">
        <v>4585557</v>
      </c>
      <c r="T88" s="38">
        <v>-117531</v>
      </c>
      <c r="U88" s="38">
        <v>4067693</v>
      </c>
      <c r="V88" s="38">
        <v>6664903</v>
      </c>
      <c r="W88" s="38">
        <v>71028220</v>
      </c>
      <c r="X88" s="38">
        <v>16697450</v>
      </c>
      <c r="Y88" s="38">
        <v>17852378</v>
      </c>
      <c r="Z88" s="38">
        <v>24101295</v>
      </c>
      <c r="AA88" s="38">
        <v>68918948</v>
      </c>
      <c r="AB88" s="38">
        <v>64506524</v>
      </c>
      <c r="AC88" s="38">
        <v>32838525</v>
      </c>
      <c r="AD88" s="38">
        <v>24595921</v>
      </c>
      <c r="AE88" s="38">
        <v>0</v>
      </c>
      <c r="AF88" s="38">
        <v>5753379</v>
      </c>
      <c r="AG88" s="38">
        <v>22888082</v>
      </c>
      <c r="AH88" s="38">
        <v>8967271</v>
      </c>
      <c r="AI88" s="38">
        <v>7606932</v>
      </c>
      <c r="AJ88" s="38">
        <v>0</v>
      </c>
      <c r="AK88" s="26">
        <v>495927576</v>
      </c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</row>
    <row r="89" spans="1:53" ht="13.5" customHeight="1">
      <c r="A89" s="95" t="s">
        <v>94</v>
      </c>
      <c r="B89" s="73" t="s">
        <v>23</v>
      </c>
      <c r="C89" s="38">
        <v>6826925</v>
      </c>
      <c r="D89" s="38">
        <v>492826</v>
      </c>
      <c r="E89" s="38">
        <v>7184340</v>
      </c>
      <c r="F89" s="38">
        <v>2607552</v>
      </c>
      <c r="G89" s="38">
        <v>1594645</v>
      </c>
      <c r="H89" s="38">
        <v>3179003</v>
      </c>
      <c r="I89" s="38">
        <f t="shared" si="3"/>
        <v>26775668</v>
      </c>
      <c r="J89" s="73">
        <f t="shared" si="4"/>
        <v>50</v>
      </c>
      <c r="K89" s="38">
        <v>4858806</v>
      </c>
      <c r="L89" s="38">
        <v>10685788</v>
      </c>
      <c r="M89" s="38">
        <v>5299685</v>
      </c>
      <c r="N89" s="38">
        <v>59980214</v>
      </c>
      <c r="O89" s="38">
        <v>16524948</v>
      </c>
      <c r="P89" s="38">
        <v>11389415</v>
      </c>
      <c r="Q89" s="38">
        <v>27105345</v>
      </c>
      <c r="R89" s="38">
        <v>906543</v>
      </c>
      <c r="S89" s="38">
        <v>10150938</v>
      </c>
      <c r="T89" s="38">
        <v>20286757</v>
      </c>
      <c r="U89" s="38">
        <v>5288608</v>
      </c>
      <c r="V89" s="38">
        <v>6766250</v>
      </c>
      <c r="W89" s="38">
        <v>18105570</v>
      </c>
      <c r="X89" s="38">
        <v>36332814</v>
      </c>
      <c r="Y89" s="38">
        <v>5371797</v>
      </c>
      <c r="Z89" s="38">
        <v>35261097</v>
      </c>
      <c r="AA89" s="38">
        <v>12984833</v>
      </c>
      <c r="AB89" s="38">
        <v>69279349</v>
      </c>
      <c r="AC89" s="38">
        <v>28647148</v>
      </c>
      <c r="AD89" s="38">
        <v>7189528</v>
      </c>
      <c r="AE89" s="38">
        <v>60428502</v>
      </c>
      <c r="AF89" s="38">
        <v>12635621</v>
      </c>
      <c r="AG89" s="38">
        <v>13918268</v>
      </c>
      <c r="AH89" s="38">
        <v>6439170</v>
      </c>
      <c r="AI89" s="38">
        <v>4683288</v>
      </c>
      <c r="AJ89" s="38">
        <v>0</v>
      </c>
      <c r="AK89" s="26">
        <v>539181291</v>
      </c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</row>
    <row r="90" spans="1:53" ht="13.5" customHeight="1">
      <c r="A90" s="95" t="s">
        <v>95</v>
      </c>
      <c r="B90" s="73" t="s">
        <v>39</v>
      </c>
      <c r="C90" s="38">
        <v>-27016</v>
      </c>
      <c r="D90" s="38">
        <v>-6795</v>
      </c>
      <c r="E90" s="38">
        <v>14378726</v>
      </c>
      <c r="F90" s="38">
        <v>2081072</v>
      </c>
      <c r="G90" s="38">
        <v>1110431</v>
      </c>
      <c r="H90" s="38">
        <v>17800753</v>
      </c>
      <c r="I90" s="38">
        <f t="shared" si="3"/>
        <v>4534298</v>
      </c>
      <c r="J90" s="73">
        <f t="shared" si="4"/>
        <v>0</v>
      </c>
      <c r="K90" s="38">
        <v>911160</v>
      </c>
      <c r="L90" s="38">
        <v>1198062</v>
      </c>
      <c r="M90" s="38">
        <v>1425139</v>
      </c>
      <c r="N90" s="38">
        <v>2455564</v>
      </c>
      <c r="O90" s="38">
        <v>1946311</v>
      </c>
      <c r="P90" s="38">
        <v>1845434</v>
      </c>
      <c r="Q90" s="38">
        <v>7185378</v>
      </c>
      <c r="R90" s="38">
        <v>997653</v>
      </c>
      <c r="S90" s="38">
        <v>548886</v>
      </c>
      <c r="T90" s="38">
        <v>3631197</v>
      </c>
      <c r="U90" s="38">
        <v>108881</v>
      </c>
      <c r="V90" s="38">
        <v>21285495</v>
      </c>
      <c r="W90" s="38">
        <v>17403973</v>
      </c>
      <c r="X90" s="38">
        <v>-2966019</v>
      </c>
      <c r="Y90" s="38">
        <v>12631432</v>
      </c>
      <c r="Z90" s="38">
        <v>6428467</v>
      </c>
      <c r="AA90" s="38">
        <v>10283809</v>
      </c>
      <c r="AB90" s="38">
        <v>33396994</v>
      </c>
      <c r="AC90" s="38">
        <v>3703102</v>
      </c>
      <c r="AD90" s="38">
        <v>3414461</v>
      </c>
      <c r="AE90" s="38">
        <v>3508</v>
      </c>
      <c r="AF90" s="38">
        <v>209536</v>
      </c>
      <c r="AG90" s="38">
        <v>218867</v>
      </c>
      <c r="AH90" s="38">
        <v>6447347</v>
      </c>
      <c r="AI90" s="38">
        <v>3202028</v>
      </c>
      <c r="AJ90" s="38">
        <v>0</v>
      </c>
      <c r="AK90" s="26">
        <v>177788134</v>
      </c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</row>
    <row r="91" spans="1:53" ht="13.5" customHeight="1">
      <c r="A91" s="96" t="s">
        <v>96</v>
      </c>
      <c r="B91" s="97" t="s">
        <v>24</v>
      </c>
      <c r="C91" s="28">
        <v>34901541</v>
      </c>
      <c r="D91" s="28">
        <v>2157106</v>
      </c>
      <c r="E91" s="28">
        <v>42937912</v>
      </c>
      <c r="F91" s="28">
        <v>12861233</v>
      </c>
      <c r="G91" s="28">
        <v>16313748</v>
      </c>
      <c r="H91" s="28">
        <v>32989574</v>
      </c>
      <c r="I91" s="38">
        <f t="shared" si="3"/>
        <v>91060057</v>
      </c>
      <c r="J91" s="73">
        <f t="shared" si="4"/>
        <v>350</v>
      </c>
      <c r="K91" s="28">
        <v>13422849</v>
      </c>
      <c r="L91" s="28">
        <v>37421593</v>
      </c>
      <c r="M91" s="28">
        <v>44287642</v>
      </c>
      <c r="N91" s="28">
        <v>98074520</v>
      </c>
      <c r="O91" s="28">
        <v>37664812</v>
      </c>
      <c r="P91" s="28">
        <v>46823112</v>
      </c>
      <c r="Q91" s="28">
        <v>67252220</v>
      </c>
      <c r="R91" s="28">
        <v>7837472</v>
      </c>
      <c r="S91" s="28">
        <v>45678048</v>
      </c>
      <c r="T91" s="28">
        <v>31029547</v>
      </c>
      <c r="U91" s="28">
        <v>18766826</v>
      </c>
      <c r="V91" s="28">
        <v>142986783</v>
      </c>
      <c r="W91" s="28">
        <v>212386661</v>
      </c>
      <c r="X91" s="28">
        <v>96037028</v>
      </c>
      <c r="Y91" s="28">
        <v>73073043</v>
      </c>
      <c r="Z91" s="28">
        <v>114239527</v>
      </c>
      <c r="AA91" s="28">
        <v>144264637</v>
      </c>
      <c r="AB91" s="28">
        <v>190755456</v>
      </c>
      <c r="AC91" s="28">
        <v>184697719</v>
      </c>
      <c r="AD91" s="28">
        <v>88218995</v>
      </c>
      <c r="AE91" s="28">
        <v>150311728</v>
      </c>
      <c r="AF91" s="28">
        <v>103322069</v>
      </c>
      <c r="AG91" s="28">
        <v>128567692</v>
      </c>
      <c r="AH91" s="28">
        <v>36179571</v>
      </c>
      <c r="AI91" s="28">
        <v>36752510</v>
      </c>
      <c r="AJ91" s="28">
        <v>0</v>
      </c>
      <c r="AK91" s="98">
        <v>2383273581</v>
      </c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</row>
    <row r="92" spans="1:53" ht="13.5" customHeight="1">
      <c r="A92" s="96" t="s">
        <v>97</v>
      </c>
      <c r="B92" s="97" t="s">
        <v>41</v>
      </c>
      <c r="C92" s="28">
        <v>74068069</v>
      </c>
      <c r="D92" s="28">
        <v>5326597</v>
      </c>
      <c r="E92" s="28">
        <v>182394945</v>
      </c>
      <c r="F92" s="28">
        <v>70160146</v>
      </c>
      <c r="G92" s="28">
        <v>56014686</v>
      </c>
      <c r="H92" s="28">
        <v>176562966</v>
      </c>
      <c r="I92" s="38">
        <f t="shared" si="3"/>
        <v>376625218</v>
      </c>
      <c r="J92" s="73">
        <f t="shared" si="4"/>
        <v>1000.0000000000001</v>
      </c>
      <c r="K92" s="28">
        <v>50827524</v>
      </c>
      <c r="L92" s="28">
        <v>191899112</v>
      </c>
      <c r="M92" s="28">
        <v>136298810</v>
      </c>
      <c r="N92" s="28">
        <v>319811734</v>
      </c>
      <c r="O92" s="28">
        <v>172753507</v>
      </c>
      <c r="P92" s="28">
        <v>185483373</v>
      </c>
      <c r="Q92" s="28">
        <v>337135671</v>
      </c>
      <c r="R92" s="28">
        <v>28943269</v>
      </c>
      <c r="S92" s="28">
        <v>96802300</v>
      </c>
      <c r="T92" s="28">
        <v>151678800</v>
      </c>
      <c r="U92" s="28">
        <v>41799020</v>
      </c>
      <c r="V92" s="28">
        <v>342238299</v>
      </c>
      <c r="W92" s="28">
        <v>396488672</v>
      </c>
      <c r="X92" s="28">
        <v>221215271</v>
      </c>
      <c r="Y92" s="28">
        <v>223735804</v>
      </c>
      <c r="Z92" s="28">
        <v>218302817</v>
      </c>
      <c r="AA92" s="28">
        <v>230943184</v>
      </c>
      <c r="AB92" s="28">
        <v>271811087</v>
      </c>
      <c r="AC92" s="28">
        <v>355695360</v>
      </c>
      <c r="AD92" s="28">
        <v>144310956</v>
      </c>
      <c r="AE92" s="28">
        <v>202555649</v>
      </c>
      <c r="AF92" s="28">
        <v>154338997</v>
      </c>
      <c r="AG92" s="28">
        <v>219151203</v>
      </c>
      <c r="AH92" s="28">
        <v>64700619</v>
      </c>
      <c r="AI92" s="28">
        <v>81600115</v>
      </c>
      <c r="AJ92" s="28">
        <v>5019959</v>
      </c>
      <c r="AK92" s="98">
        <v>5786694739</v>
      </c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</row>
    <row r="95" spans="1:53" ht="13.5" customHeight="1">
      <c r="B95" s="73" t="s">
        <v>145</v>
      </c>
    </row>
    <row r="96" spans="1:53" ht="13.5" customHeight="1">
      <c r="A96" s="190" t="s">
        <v>25</v>
      </c>
      <c r="B96" s="191"/>
      <c r="C96" s="79" t="s">
        <v>44</v>
      </c>
      <c r="D96" s="79" t="s">
        <v>45</v>
      </c>
      <c r="E96" s="79" t="s">
        <v>46</v>
      </c>
      <c r="F96" s="80" t="s">
        <v>47</v>
      </c>
      <c r="G96" s="81" t="s">
        <v>48</v>
      </c>
      <c r="H96" s="81" t="s">
        <v>49</v>
      </c>
      <c r="I96" s="81" t="s">
        <v>50</v>
      </c>
      <c r="K96" s="81" t="s">
        <v>51</v>
      </c>
      <c r="L96" s="81" t="s">
        <v>52</v>
      </c>
      <c r="M96" s="81" t="s">
        <v>53</v>
      </c>
      <c r="N96" s="81" t="s">
        <v>55</v>
      </c>
      <c r="O96" s="81" t="s">
        <v>57</v>
      </c>
      <c r="P96" s="81" t="s">
        <v>59</v>
      </c>
      <c r="Q96" s="81" t="s">
        <v>60</v>
      </c>
      <c r="R96" s="81" t="s">
        <v>61</v>
      </c>
      <c r="S96" s="81" t="s">
        <v>63</v>
      </c>
      <c r="T96" s="81" t="s">
        <v>65</v>
      </c>
      <c r="U96" s="81" t="s">
        <v>66</v>
      </c>
      <c r="V96" s="81" t="s">
        <v>68</v>
      </c>
      <c r="W96" s="81" t="s">
        <v>69</v>
      </c>
      <c r="X96" s="81" t="s">
        <v>71</v>
      </c>
      <c r="Y96" s="81" t="s">
        <v>72</v>
      </c>
      <c r="Z96" s="81" t="s">
        <v>73</v>
      </c>
      <c r="AA96" s="81" t="s">
        <v>74</v>
      </c>
      <c r="AB96" s="81" t="s">
        <v>75</v>
      </c>
      <c r="AC96" s="81" t="s">
        <v>77</v>
      </c>
      <c r="AD96" s="81" t="s">
        <v>78</v>
      </c>
      <c r="AE96" s="81" t="s">
        <v>79</v>
      </c>
      <c r="AF96" s="81" t="s">
        <v>81</v>
      </c>
      <c r="AG96" s="81" t="s">
        <v>82</v>
      </c>
      <c r="AH96" s="81" t="s">
        <v>84</v>
      </c>
      <c r="AI96" s="81" t="s">
        <v>86</v>
      </c>
      <c r="AJ96" s="81" t="s">
        <v>88</v>
      </c>
      <c r="AK96" s="82" t="s">
        <v>98</v>
      </c>
      <c r="AL96" s="81" t="s">
        <v>99</v>
      </c>
      <c r="AM96" s="81" t="s">
        <v>100</v>
      </c>
      <c r="AN96" s="81" t="s">
        <v>101</v>
      </c>
      <c r="AO96" s="81" t="s">
        <v>102</v>
      </c>
      <c r="AP96" s="81" t="s">
        <v>103</v>
      </c>
      <c r="AQ96" s="81" t="s">
        <v>104</v>
      </c>
      <c r="AR96" s="81" t="s">
        <v>105</v>
      </c>
      <c r="AS96" s="82" t="s">
        <v>106</v>
      </c>
      <c r="AT96" s="83" t="s">
        <v>107</v>
      </c>
      <c r="AU96" s="84"/>
      <c r="AV96" s="81"/>
      <c r="AW96" s="81"/>
      <c r="AX96" s="81"/>
      <c r="AY96" s="81"/>
      <c r="AZ96" s="81"/>
      <c r="BA96" s="83"/>
    </row>
    <row r="97" spans="1:53" ht="13.5" customHeight="1">
      <c r="A97" s="192"/>
      <c r="B97" s="193"/>
      <c r="C97" s="85" t="s">
        <v>2</v>
      </c>
      <c r="D97" s="85" t="s">
        <v>3</v>
      </c>
      <c r="E97" s="85" t="s">
        <v>4</v>
      </c>
      <c r="F97" s="85" t="s">
        <v>5</v>
      </c>
      <c r="G97" s="85" t="s">
        <v>6</v>
      </c>
      <c r="H97" s="85" t="s">
        <v>7</v>
      </c>
      <c r="I97" s="85" t="s">
        <v>8</v>
      </c>
      <c r="J97" s="73" t="s">
        <v>144</v>
      </c>
      <c r="K97" s="85" t="s">
        <v>9</v>
      </c>
      <c r="L97" s="85" t="s">
        <v>10</v>
      </c>
      <c r="M97" s="85" t="s">
        <v>54</v>
      </c>
      <c r="N97" s="85" t="s">
        <v>56</v>
      </c>
      <c r="O97" s="85" t="s">
        <v>58</v>
      </c>
      <c r="P97" s="85" t="s">
        <v>11</v>
      </c>
      <c r="Q97" s="85" t="s">
        <v>12</v>
      </c>
      <c r="R97" s="85" t="s">
        <v>135</v>
      </c>
      <c r="S97" s="85" t="s">
        <v>64</v>
      </c>
      <c r="T97" s="85" t="s">
        <v>13</v>
      </c>
      <c r="U97" s="85" t="s">
        <v>67</v>
      </c>
      <c r="V97" s="85" t="s">
        <v>14</v>
      </c>
      <c r="W97" s="85" t="s">
        <v>70</v>
      </c>
      <c r="X97" s="85" t="s">
        <v>42</v>
      </c>
      <c r="Y97" s="85" t="s">
        <v>15</v>
      </c>
      <c r="Z97" s="85" t="s">
        <v>136</v>
      </c>
      <c r="AA97" s="85" t="s">
        <v>137</v>
      </c>
      <c r="AB97" s="85" t="s">
        <v>76</v>
      </c>
      <c r="AC97" s="85" t="s">
        <v>43</v>
      </c>
      <c r="AD97" s="85" t="s">
        <v>18</v>
      </c>
      <c r="AE97" s="85" t="s">
        <v>80</v>
      </c>
      <c r="AF97" s="85" t="s">
        <v>19</v>
      </c>
      <c r="AG97" s="85" t="s">
        <v>138</v>
      </c>
      <c r="AH97" s="85" t="s">
        <v>85</v>
      </c>
      <c r="AI97" s="85" t="s">
        <v>87</v>
      </c>
      <c r="AJ97" s="85" t="s">
        <v>89</v>
      </c>
      <c r="AK97" s="86" t="s">
        <v>26</v>
      </c>
      <c r="AL97" s="87" t="s">
        <v>38</v>
      </c>
      <c r="AM97" s="85" t="s">
        <v>27</v>
      </c>
      <c r="AN97" s="85" t="s">
        <v>28</v>
      </c>
      <c r="AO97" s="85" t="s">
        <v>29</v>
      </c>
      <c r="AP97" s="85" t="s">
        <v>30</v>
      </c>
      <c r="AQ97" s="85" t="s">
        <v>31</v>
      </c>
      <c r="AR97" s="85" t="s">
        <v>32</v>
      </c>
      <c r="AS97" s="86" t="s">
        <v>33</v>
      </c>
      <c r="AT97" s="88" t="s">
        <v>34</v>
      </c>
      <c r="AU97" s="89"/>
      <c r="AV97" s="85"/>
      <c r="AW97" s="85"/>
      <c r="AX97" s="87"/>
      <c r="AY97" s="85"/>
      <c r="AZ97" s="85"/>
      <c r="BA97" s="90"/>
    </row>
    <row r="98" spans="1:53" ht="13.5" customHeight="1">
      <c r="A98" s="72" t="s">
        <v>44</v>
      </c>
      <c r="B98" s="77" t="s">
        <v>2</v>
      </c>
      <c r="C98" s="38">
        <v>4256311</v>
      </c>
      <c r="D98" s="38">
        <v>3473</v>
      </c>
      <c r="E98" s="38">
        <v>44787107</v>
      </c>
      <c r="F98" s="38">
        <v>264444</v>
      </c>
      <c r="G98" s="38">
        <v>661849</v>
      </c>
      <c r="H98" s="38">
        <v>4203</v>
      </c>
      <c r="I98" s="38">
        <v>1326557.8816719113</v>
      </c>
      <c r="J98" s="73">
        <v>1.1183280886092932</v>
      </c>
      <c r="K98" s="38">
        <v>3614</v>
      </c>
      <c r="L98" s="38">
        <v>6461</v>
      </c>
      <c r="M98" s="38">
        <v>7383</v>
      </c>
      <c r="N98" s="38">
        <v>7338</v>
      </c>
      <c r="O98" s="38">
        <v>2082</v>
      </c>
      <c r="P98" s="38">
        <v>6967</v>
      </c>
      <c r="Q98" s="38">
        <v>2432</v>
      </c>
      <c r="R98" s="38">
        <v>14838</v>
      </c>
      <c r="S98" s="38">
        <v>542287</v>
      </c>
      <c r="T98" s="38">
        <v>3751</v>
      </c>
      <c r="U98" s="38">
        <v>12739</v>
      </c>
      <c r="V98" s="38">
        <v>403188</v>
      </c>
      <c r="W98" s="38">
        <v>103863</v>
      </c>
      <c r="X98" s="38">
        <v>13100</v>
      </c>
      <c r="Y98" s="38">
        <v>13418941</v>
      </c>
      <c r="Z98" s="38">
        <v>14422</v>
      </c>
      <c r="AA98" s="38">
        <v>11833</v>
      </c>
      <c r="AB98" s="38">
        <v>7087</v>
      </c>
      <c r="AC98" s="38">
        <v>72958</v>
      </c>
      <c r="AD98" s="38">
        <v>20574</v>
      </c>
      <c r="AE98" s="38">
        <v>333297</v>
      </c>
      <c r="AF98" s="38">
        <v>716622</v>
      </c>
      <c r="AG98" s="38">
        <v>904970</v>
      </c>
      <c r="AH98" s="38">
        <v>72052</v>
      </c>
      <c r="AI98" s="38">
        <v>72609</v>
      </c>
      <c r="AJ98" s="38">
        <v>3405</v>
      </c>
      <c r="AK98" s="26">
        <f>SUM(C98:AJ98)</f>
        <v>68082759</v>
      </c>
      <c r="AL98" s="38">
        <v>20977330</v>
      </c>
      <c r="AM98" s="38">
        <v>0</v>
      </c>
      <c r="AN98" s="38">
        <v>1005548</v>
      </c>
      <c r="AO98" s="38">
        <v>708</v>
      </c>
      <c r="AP98" s="38">
        <v>-196797</v>
      </c>
      <c r="AQ98" s="38">
        <v>0</v>
      </c>
      <c r="AR98" s="38">
        <v>1148216</v>
      </c>
      <c r="AS98" s="26">
        <f>SUM(AL98:AR98)</f>
        <v>22935005</v>
      </c>
      <c r="AT98" s="27">
        <f>AK98+AR98</f>
        <v>69230975</v>
      </c>
      <c r="AU98" s="42"/>
      <c r="AV98" s="38"/>
      <c r="AW98" s="38"/>
      <c r="AX98" s="38"/>
      <c r="AY98" s="38"/>
      <c r="AZ98" s="38"/>
      <c r="BA98" s="27"/>
    </row>
    <row r="99" spans="1:53" ht="13.5" customHeight="1">
      <c r="A99" s="72" t="s">
        <v>45</v>
      </c>
      <c r="B99" s="77" t="s">
        <v>3</v>
      </c>
      <c r="C99" s="38">
        <v>2055</v>
      </c>
      <c r="D99" s="38">
        <v>2999</v>
      </c>
      <c r="E99" s="38">
        <v>48702</v>
      </c>
      <c r="F99" s="38">
        <v>3592</v>
      </c>
      <c r="G99" s="38">
        <v>35023</v>
      </c>
      <c r="H99" s="38">
        <v>108067377</v>
      </c>
      <c r="I99" s="38">
        <v>8679206.2488911487</v>
      </c>
      <c r="J99" s="73">
        <v>0.75110885132401117</v>
      </c>
      <c r="K99" s="38">
        <v>5208178</v>
      </c>
      <c r="L99" s="38">
        <v>33232955</v>
      </c>
      <c r="M99" s="38">
        <v>40482</v>
      </c>
      <c r="N99" s="38">
        <v>37583</v>
      </c>
      <c r="O99" s="38">
        <v>8789</v>
      </c>
      <c r="P99" s="38">
        <v>16354</v>
      </c>
      <c r="Q99" s="38">
        <v>5802</v>
      </c>
      <c r="R99" s="38">
        <v>3785</v>
      </c>
      <c r="S99" s="38">
        <v>76904</v>
      </c>
      <c r="T99" s="38">
        <v>68593275</v>
      </c>
      <c r="U99" s="38">
        <v>53587</v>
      </c>
      <c r="V99" s="38">
        <v>278992</v>
      </c>
      <c r="W99" s="38">
        <v>0</v>
      </c>
      <c r="X99" s="38">
        <v>0</v>
      </c>
      <c r="Y99" s="38">
        <v>15310</v>
      </c>
      <c r="Z99" s="38">
        <v>0</v>
      </c>
      <c r="AA99" s="38">
        <v>0</v>
      </c>
      <c r="AB99" s="38">
        <v>141</v>
      </c>
      <c r="AC99" s="38">
        <v>17244</v>
      </c>
      <c r="AD99" s="38">
        <v>13414</v>
      </c>
      <c r="AE99" s="38">
        <v>16766</v>
      </c>
      <c r="AF99" s="38">
        <v>1073</v>
      </c>
      <c r="AG99" s="38">
        <v>16722</v>
      </c>
      <c r="AH99" s="38">
        <v>2420</v>
      </c>
      <c r="AI99" s="38">
        <v>2421</v>
      </c>
      <c r="AJ99" s="38">
        <v>34</v>
      </c>
      <c r="AK99" s="26">
        <f t="shared" ref="AK99:AK136" si="5">SUM(C99:AJ99)</f>
        <v>224481186</v>
      </c>
      <c r="AL99" s="38">
        <v>20312</v>
      </c>
      <c r="AM99" s="38">
        <v>0</v>
      </c>
      <c r="AN99" s="38">
        <v>0</v>
      </c>
      <c r="AO99" s="38">
        <v>0</v>
      </c>
      <c r="AP99" s="38">
        <v>-1208060</v>
      </c>
      <c r="AQ99" s="38">
        <v>0</v>
      </c>
      <c r="AR99" s="38">
        <v>164539</v>
      </c>
      <c r="AS99" s="26">
        <f t="shared" ref="AS99:AS131" si="6">SUM(AL99:AR99)</f>
        <v>-1023209</v>
      </c>
      <c r="AT99" s="27">
        <f t="shared" ref="AT99:AT131" si="7">AK99+AR99</f>
        <v>224645725</v>
      </c>
      <c r="AU99" s="42"/>
      <c r="AV99" s="38"/>
      <c r="AW99" s="38"/>
      <c r="AX99" s="38"/>
      <c r="AY99" s="38"/>
      <c r="AZ99" s="38"/>
      <c r="BA99" s="27"/>
    </row>
    <row r="100" spans="1:53" ht="13.5" customHeight="1">
      <c r="A100" s="72" t="s">
        <v>46</v>
      </c>
      <c r="B100" s="77" t="s">
        <v>4</v>
      </c>
      <c r="C100" s="38">
        <v>13490896</v>
      </c>
      <c r="D100" s="38">
        <v>16188</v>
      </c>
      <c r="E100" s="38">
        <v>37267582</v>
      </c>
      <c r="F100" s="38">
        <v>1267831</v>
      </c>
      <c r="G100" s="38">
        <v>87762</v>
      </c>
      <c r="H100" s="38">
        <v>29747</v>
      </c>
      <c r="I100" s="38">
        <v>1948951.2856227099</v>
      </c>
      <c r="J100" s="73">
        <v>2.7143772901102938</v>
      </c>
      <c r="K100" s="38">
        <v>32354</v>
      </c>
      <c r="L100" s="38">
        <v>78230</v>
      </c>
      <c r="M100" s="38">
        <v>106035</v>
      </c>
      <c r="N100" s="38">
        <v>28458</v>
      </c>
      <c r="O100" s="38">
        <v>23722</v>
      </c>
      <c r="P100" s="38">
        <v>80841</v>
      </c>
      <c r="Q100" s="38">
        <v>-15144</v>
      </c>
      <c r="R100" s="38">
        <v>10976</v>
      </c>
      <c r="S100" s="38">
        <v>642150</v>
      </c>
      <c r="T100" s="38">
        <v>1667262</v>
      </c>
      <c r="U100" s="38">
        <v>75594</v>
      </c>
      <c r="V100" s="38">
        <v>29879</v>
      </c>
      <c r="W100" s="38">
        <v>2137267</v>
      </c>
      <c r="X100" s="38">
        <v>237559</v>
      </c>
      <c r="Y100" s="38">
        <v>62634265</v>
      </c>
      <c r="Z100" s="38">
        <v>321736</v>
      </c>
      <c r="AA100" s="38">
        <v>166231</v>
      </c>
      <c r="AB100" s="38">
        <v>20690</v>
      </c>
      <c r="AC100" s="38">
        <v>1680284</v>
      </c>
      <c r="AD100" s="38">
        <v>730059</v>
      </c>
      <c r="AE100" s="38">
        <v>1178818</v>
      </c>
      <c r="AF100" s="38">
        <v>3190985</v>
      </c>
      <c r="AG100" s="38">
        <v>3326884</v>
      </c>
      <c r="AH100" s="38">
        <v>2766615</v>
      </c>
      <c r="AI100" s="38">
        <v>1099495</v>
      </c>
      <c r="AJ100" s="38">
        <v>54767</v>
      </c>
      <c r="AK100" s="26">
        <f t="shared" si="5"/>
        <v>136414972</v>
      </c>
      <c r="AL100" s="38">
        <v>79996863</v>
      </c>
      <c r="AM100" s="38">
        <v>0</v>
      </c>
      <c r="AN100" s="38">
        <v>0</v>
      </c>
      <c r="AO100" s="38">
        <v>0</v>
      </c>
      <c r="AP100" s="38">
        <v>-312055</v>
      </c>
      <c r="AQ100" s="38">
        <v>0</v>
      </c>
      <c r="AR100" s="38">
        <v>13216832</v>
      </c>
      <c r="AS100" s="26">
        <f t="shared" si="6"/>
        <v>92901640</v>
      </c>
      <c r="AT100" s="27">
        <f t="shared" si="7"/>
        <v>149631804</v>
      </c>
      <c r="AU100" s="42"/>
      <c r="AV100" s="38"/>
      <c r="AW100" s="38"/>
      <c r="AX100" s="38"/>
      <c r="AY100" s="38"/>
      <c r="AZ100" s="38"/>
      <c r="BA100" s="27"/>
    </row>
    <row r="101" spans="1:53" ht="13.5" customHeight="1">
      <c r="A101" s="72" t="s">
        <v>47</v>
      </c>
      <c r="B101" s="77" t="s">
        <v>5</v>
      </c>
      <c r="C101" s="38">
        <v>690669</v>
      </c>
      <c r="D101" s="38">
        <v>18761</v>
      </c>
      <c r="E101" s="38">
        <v>152583</v>
      </c>
      <c r="F101" s="38">
        <v>21941986</v>
      </c>
      <c r="G101" s="38">
        <v>610886</v>
      </c>
      <c r="H101" s="38">
        <v>100196</v>
      </c>
      <c r="I101" s="38">
        <v>1674117.8461301655</v>
      </c>
      <c r="J101" s="73">
        <v>2.1538698344229443</v>
      </c>
      <c r="K101" s="38">
        <v>167311</v>
      </c>
      <c r="L101" s="38">
        <v>181532</v>
      </c>
      <c r="M101" s="38">
        <v>398657</v>
      </c>
      <c r="N101" s="38">
        <v>396591</v>
      </c>
      <c r="O101" s="38">
        <v>175855</v>
      </c>
      <c r="P101" s="38">
        <v>148702</v>
      </c>
      <c r="Q101" s="38">
        <v>1234584</v>
      </c>
      <c r="R101" s="38">
        <v>1704538</v>
      </c>
      <c r="S101" s="38">
        <v>2681541</v>
      </c>
      <c r="T101" s="38">
        <v>46471</v>
      </c>
      <c r="U101" s="38">
        <v>260471</v>
      </c>
      <c r="V101" s="38">
        <v>183767</v>
      </c>
      <c r="W101" s="38">
        <v>1793848</v>
      </c>
      <c r="X101" s="38">
        <v>1945331</v>
      </c>
      <c r="Y101" s="38">
        <v>1580633</v>
      </c>
      <c r="Z101" s="38">
        <v>250655</v>
      </c>
      <c r="AA101" s="38">
        <v>107312</v>
      </c>
      <c r="AB101" s="38">
        <v>175614</v>
      </c>
      <c r="AC101" s="38">
        <v>554339</v>
      </c>
      <c r="AD101" s="38">
        <v>1178436</v>
      </c>
      <c r="AE101" s="38">
        <v>689348</v>
      </c>
      <c r="AF101" s="38">
        <v>212655</v>
      </c>
      <c r="AG101" s="38">
        <v>919104</v>
      </c>
      <c r="AH101" s="38">
        <v>556457</v>
      </c>
      <c r="AI101" s="38">
        <v>863694</v>
      </c>
      <c r="AJ101" s="38">
        <v>17447</v>
      </c>
      <c r="AK101" s="26">
        <f t="shared" si="5"/>
        <v>43614094</v>
      </c>
      <c r="AL101" s="38">
        <v>44692848</v>
      </c>
      <c r="AM101" s="38">
        <v>0</v>
      </c>
      <c r="AN101" s="38">
        <v>99316</v>
      </c>
      <c r="AO101" s="38">
        <v>49995</v>
      </c>
      <c r="AP101" s="38">
        <v>238347</v>
      </c>
      <c r="AQ101" s="38">
        <v>0</v>
      </c>
      <c r="AR101" s="38">
        <v>20177963</v>
      </c>
      <c r="AS101" s="26">
        <f t="shared" si="6"/>
        <v>65258469</v>
      </c>
      <c r="AT101" s="27">
        <f t="shared" si="7"/>
        <v>63792057</v>
      </c>
      <c r="AU101" s="42"/>
      <c r="AV101" s="38"/>
      <c r="AW101" s="38"/>
      <c r="AX101" s="38"/>
      <c r="AY101" s="38"/>
      <c r="AZ101" s="38"/>
      <c r="BA101" s="27"/>
    </row>
    <row r="102" spans="1:53" ht="13.5" customHeight="1">
      <c r="A102" s="72" t="s">
        <v>48</v>
      </c>
      <c r="B102" s="77" t="s">
        <v>6</v>
      </c>
      <c r="C102" s="38">
        <v>866017</v>
      </c>
      <c r="D102" s="38">
        <v>11121</v>
      </c>
      <c r="E102" s="38">
        <v>3715108</v>
      </c>
      <c r="F102" s="38">
        <v>415547</v>
      </c>
      <c r="G102" s="38">
        <v>17244503</v>
      </c>
      <c r="H102" s="38">
        <v>134210</v>
      </c>
      <c r="I102" s="38">
        <v>1997371.26708342</v>
      </c>
      <c r="J102" s="73">
        <v>3.7329165799523025</v>
      </c>
      <c r="K102" s="38">
        <v>426375</v>
      </c>
      <c r="L102" s="38">
        <v>243459</v>
      </c>
      <c r="M102" s="38">
        <v>1061021</v>
      </c>
      <c r="N102" s="38">
        <v>295987</v>
      </c>
      <c r="O102" s="38">
        <v>571350</v>
      </c>
      <c r="P102" s="38">
        <v>353312</v>
      </c>
      <c r="Q102" s="38">
        <v>120280</v>
      </c>
      <c r="R102" s="38">
        <v>1901882</v>
      </c>
      <c r="S102" s="38">
        <v>408384</v>
      </c>
      <c r="T102" s="38">
        <v>792752</v>
      </c>
      <c r="U102" s="38">
        <v>-6870</v>
      </c>
      <c r="V102" s="38">
        <v>6049727</v>
      </c>
      <c r="W102" s="38">
        <v>4278205</v>
      </c>
      <c r="X102" s="38">
        <v>1476571</v>
      </c>
      <c r="Y102" s="38">
        <v>2137353</v>
      </c>
      <c r="Z102" s="38">
        <v>2006707</v>
      </c>
      <c r="AA102" s="38">
        <v>1592341</v>
      </c>
      <c r="AB102" s="38">
        <v>227894</v>
      </c>
      <c r="AC102" s="38">
        <v>5069685</v>
      </c>
      <c r="AD102" s="38">
        <v>631911</v>
      </c>
      <c r="AE102" s="38">
        <v>913133</v>
      </c>
      <c r="AF102" s="38">
        <v>960333</v>
      </c>
      <c r="AG102" s="38">
        <v>1291250</v>
      </c>
      <c r="AH102" s="38">
        <v>308585</v>
      </c>
      <c r="AI102" s="38">
        <v>831503</v>
      </c>
      <c r="AJ102" s="38">
        <v>9881</v>
      </c>
      <c r="AK102" s="26">
        <f t="shared" si="5"/>
        <v>58336892</v>
      </c>
      <c r="AL102" s="38">
        <v>1990283</v>
      </c>
      <c r="AM102" s="38">
        <v>0</v>
      </c>
      <c r="AN102" s="38">
        <v>0</v>
      </c>
      <c r="AO102" s="38">
        <v>0</v>
      </c>
      <c r="AP102" s="38">
        <v>247498</v>
      </c>
      <c r="AQ102" s="38">
        <v>0</v>
      </c>
      <c r="AR102" s="38">
        <v>4630328</v>
      </c>
      <c r="AS102" s="26">
        <f t="shared" si="6"/>
        <v>6868109</v>
      </c>
      <c r="AT102" s="27">
        <f t="shared" si="7"/>
        <v>62967220</v>
      </c>
      <c r="AU102" s="42"/>
      <c r="AV102" s="38"/>
      <c r="AW102" s="38"/>
      <c r="AX102" s="38"/>
      <c r="AY102" s="38"/>
      <c r="AZ102" s="38"/>
      <c r="BA102" s="27"/>
    </row>
    <row r="103" spans="1:53" ht="13.5" customHeight="1">
      <c r="A103" s="72" t="s">
        <v>49</v>
      </c>
      <c r="B103" s="77" t="s">
        <v>7</v>
      </c>
      <c r="C103" s="38">
        <v>1553720</v>
      </c>
      <c r="D103" s="38">
        <v>127562</v>
      </c>
      <c r="E103" s="38">
        <v>368746</v>
      </c>
      <c r="F103" s="38">
        <v>182073</v>
      </c>
      <c r="G103" s="38">
        <v>306192</v>
      </c>
      <c r="H103" s="38">
        <v>8485744</v>
      </c>
      <c r="I103" s="38">
        <v>43895209.669638716</v>
      </c>
      <c r="J103" s="73">
        <v>37.330361284708523</v>
      </c>
      <c r="K103" s="38">
        <v>2409467</v>
      </c>
      <c r="L103" s="38">
        <v>721361</v>
      </c>
      <c r="M103" s="38">
        <v>527953</v>
      </c>
      <c r="N103" s="38">
        <v>108255</v>
      </c>
      <c r="O103" s="38">
        <v>512348</v>
      </c>
      <c r="P103" s="38">
        <v>337756</v>
      </c>
      <c r="Q103" s="38">
        <v>472866</v>
      </c>
      <c r="R103" s="38">
        <v>45874</v>
      </c>
      <c r="S103" s="38">
        <v>1013019</v>
      </c>
      <c r="T103" s="38">
        <v>4111860</v>
      </c>
      <c r="U103" s="38">
        <v>690962</v>
      </c>
      <c r="V103" s="38">
        <v>4687554</v>
      </c>
      <c r="W103" s="38">
        <v>9503880</v>
      </c>
      <c r="X103" s="38">
        <v>24628899</v>
      </c>
      <c r="Y103" s="38">
        <v>3477744</v>
      </c>
      <c r="Z103" s="38">
        <v>404311</v>
      </c>
      <c r="AA103" s="38">
        <v>146259</v>
      </c>
      <c r="AB103" s="38">
        <v>918026</v>
      </c>
      <c r="AC103" s="38">
        <v>4380042</v>
      </c>
      <c r="AD103" s="38">
        <v>918546</v>
      </c>
      <c r="AE103" s="38">
        <v>3355174</v>
      </c>
      <c r="AF103" s="38">
        <v>2599025</v>
      </c>
      <c r="AG103" s="38">
        <v>1564184</v>
      </c>
      <c r="AH103" s="38">
        <v>353775</v>
      </c>
      <c r="AI103" s="38">
        <v>1093548</v>
      </c>
      <c r="AJ103" s="38">
        <v>22523</v>
      </c>
      <c r="AK103" s="26">
        <f t="shared" si="5"/>
        <v>123924495</v>
      </c>
      <c r="AL103" s="38">
        <v>20010215</v>
      </c>
      <c r="AM103" s="38">
        <v>0</v>
      </c>
      <c r="AN103" s="38">
        <v>0</v>
      </c>
      <c r="AO103" s="38">
        <v>0</v>
      </c>
      <c r="AP103" s="38">
        <v>685143</v>
      </c>
      <c r="AQ103" s="38">
        <v>0</v>
      </c>
      <c r="AR103" s="38">
        <v>77066088</v>
      </c>
      <c r="AS103" s="26">
        <f t="shared" si="6"/>
        <v>97761446</v>
      </c>
      <c r="AT103" s="27">
        <f t="shared" si="7"/>
        <v>200990583</v>
      </c>
      <c r="AU103" s="42"/>
      <c r="AV103" s="38"/>
      <c r="AW103" s="38"/>
      <c r="AX103" s="38"/>
      <c r="AY103" s="38"/>
      <c r="AZ103" s="38"/>
      <c r="BA103" s="27"/>
    </row>
    <row r="104" spans="1:53" ht="13.5" customHeight="1">
      <c r="A104" s="72" t="s">
        <v>50</v>
      </c>
      <c r="B104" s="77" t="s">
        <v>8</v>
      </c>
      <c r="C104" s="38">
        <v>5335756</v>
      </c>
      <c r="D104" s="38">
        <v>219298</v>
      </c>
      <c r="E104" s="38">
        <v>4720446</v>
      </c>
      <c r="F104" s="38">
        <v>6819729</v>
      </c>
      <c r="G104" s="38">
        <v>3803170</v>
      </c>
      <c r="H104" s="38">
        <v>3537795</v>
      </c>
      <c r="I104" s="38">
        <v>129362685.16295616</v>
      </c>
      <c r="J104" s="73">
        <v>151.83704383413482</v>
      </c>
      <c r="K104" s="38">
        <v>2543485</v>
      </c>
      <c r="L104" s="38">
        <v>3102895</v>
      </c>
      <c r="M104" s="38">
        <v>9009090</v>
      </c>
      <c r="N104" s="38">
        <v>20188581</v>
      </c>
      <c r="O104" s="38">
        <v>17404850</v>
      </c>
      <c r="P104" s="38">
        <v>5570490</v>
      </c>
      <c r="Q104" s="38">
        <v>21793941</v>
      </c>
      <c r="R104" s="38">
        <v>2998181</v>
      </c>
      <c r="S104" s="38">
        <v>1983061</v>
      </c>
      <c r="T104" s="38">
        <v>2417171</v>
      </c>
      <c r="U104" s="38">
        <v>2164833</v>
      </c>
      <c r="V104" s="38">
        <v>12222208</v>
      </c>
      <c r="W104" s="38">
        <v>5288979</v>
      </c>
      <c r="X104" s="38">
        <v>1560674</v>
      </c>
      <c r="Y104" s="38">
        <v>4858345</v>
      </c>
      <c r="Z104" s="38">
        <v>812354</v>
      </c>
      <c r="AA104" s="38">
        <v>121602</v>
      </c>
      <c r="AB104" s="38">
        <v>277568</v>
      </c>
      <c r="AC104" s="38">
        <v>10278206</v>
      </c>
      <c r="AD104" s="38">
        <v>3992188</v>
      </c>
      <c r="AE104" s="38">
        <v>1614775</v>
      </c>
      <c r="AF104" s="38">
        <v>1270286</v>
      </c>
      <c r="AG104" s="38">
        <v>32946431</v>
      </c>
      <c r="AH104" s="38">
        <v>758170</v>
      </c>
      <c r="AI104" s="38">
        <v>3728706</v>
      </c>
      <c r="AJ104" s="38">
        <v>31956</v>
      </c>
      <c r="AK104" s="26">
        <f t="shared" si="5"/>
        <v>322738057</v>
      </c>
      <c r="AL104" s="38">
        <v>16391860</v>
      </c>
      <c r="AM104" s="38">
        <v>0</v>
      </c>
      <c r="AN104" s="38">
        <v>0</v>
      </c>
      <c r="AO104" s="38">
        <v>0</v>
      </c>
      <c r="AP104" s="38">
        <v>2035871</v>
      </c>
      <c r="AQ104" s="38">
        <v>0</v>
      </c>
      <c r="AR104" s="38">
        <v>141937188</v>
      </c>
      <c r="AS104" s="26">
        <f t="shared" si="6"/>
        <v>160364919</v>
      </c>
      <c r="AT104" s="27">
        <f t="shared" si="7"/>
        <v>464675245</v>
      </c>
      <c r="AU104" s="42"/>
      <c r="AV104" s="38"/>
      <c r="AW104" s="38"/>
      <c r="AX104" s="38"/>
      <c r="AY104" s="38"/>
      <c r="AZ104" s="38"/>
      <c r="BA104" s="27"/>
    </row>
    <row r="105" spans="1:53" s="100" customFormat="1" ht="13.5" customHeight="1">
      <c r="A105" s="107"/>
      <c r="B105" s="108" t="s">
        <v>144</v>
      </c>
      <c r="C105" s="109">
        <f>C59/$AT$59*cases2!$B$6</f>
        <v>11.044759119844462</v>
      </c>
      <c r="D105" s="109">
        <f>D59/$AT$59*cases2!$B$6</f>
        <v>0.45393634668895105</v>
      </c>
      <c r="E105" s="109">
        <f>E59/$AT$59*cases2!$B$6</f>
        <v>9.771096918268622</v>
      </c>
      <c r="F105" s="109">
        <f>F59/$AT$59*cases2!$B$6</f>
        <v>14.11651208706278</v>
      </c>
      <c r="G105" s="109">
        <f>G59/$AT$59*cases2!$B$6</f>
        <v>7.8723795731699235</v>
      </c>
      <c r="H105" s="109">
        <f>H59/$AT$59*cases2!$B$6</f>
        <v>7.323066045447006</v>
      </c>
      <c r="I105" s="109">
        <f>I59/$AT$59*cases2!$B$6</f>
        <v>267.77452517283132</v>
      </c>
      <c r="J105" s="112">
        <f>J59/$AT$59*cases2!$B$6</f>
        <v>3.4566547208695979E-4</v>
      </c>
      <c r="K105" s="109">
        <f>K59/$AT$59*cases2!$B$6</f>
        <v>5.2648920134162038</v>
      </c>
      <c r="L105" s="109">
        <f>L59/$AT$59*cases2!$B$6</f>
        <v>6.4228438948800841</v>
      </c>
      <c r="M105" s="109">
        <f>M59/$AT$59*cases2!$B$6</f>
        <v>18.64838439744987</v>
      </c>
      <c r="N105" s="109">
        <f>N59/$AT$59*cases2!$B$6</f>
        <v>41.789394814243494</v>
      </c>
      <c r="O105" s="109">
        <f>O59/$AT$59*cases2!$B$6</f>
        <v>36.027205098401218</v>
      </c>
      <c r="P105" s="109">
        <f>P59/$AT$59*cases2!$B$6</f>
        <v>11.530647246519964</v>
      </c>
      <c r="Q105" s="109">
        <f>Q59/$AT$59*cases2!$B$6</f>
        <v>45.112413052077741</v>
      </c>
      <c r="R105" s="109">
        <f>R59/$AT$59*cases2!$B$6</f>
        <v>6.2060909349479978</v>
      </c>
      <c r="S105" s="109">
        <f>S59/$AT$59*cases2!$B$6</f>
        <v>4.1048412005642456</v>
      </c>
      <c r="T105" s="109">
        <f>T59/$AT$59*cases2!$B$6</f>
        <v>5.0034280890043616</v>
      </c>
      <c r="U105" s="109">
        <f>U59/$AT$59*cases2!$B$6</f>
        <v>4.4811005262778592</v>
      </c>
      <c r="V105" s="109">
        <f>V59/$AT$59*cases2!$B$6</f>
        <v>25.299384618156441</v>
      </c>
      <c r="W105" s="109">
        <f>W59/$AT$59*cases2!$B$6</f>
        <v>10.947932972369021</v>
      </c>
      <c r="X105" s="109">
        <f>X59/$AT$59*cases2!$B$6</f>
        <v>3.230520360114693</v>
      </c>
      <c r="Y105" s="109">
        <f>Y59/$AT$59*cases2!$B$6</f>
        <v>10.056541237286853</v>
      </c>
      <c r="Z105" s="109">
        <f>Z59/$AT$59*cases2!$B$6</f>
        <v>1.6815338351382874</v>
      </c>
      <c r="AA105" s="109">
        <f>AA59/$AT$59*cases2!$B$6</f>
        <v>0.25171031030866597</v>
      </c>
      <c r="AB105" s="109">
        <f>AB59/$AT$59*cases2!$B$6</f>
        <v>0.57455245318132753</v>
      </c>
      <c r="AC105" s="109">
        <f>AC59/$AT$59*cases2!$B$6</f>
        <v>21.275393675074358</v>
      </c>
      <c r="AD105" s="109">
        <f>AD59/$AT$59*cases2!$B$6</f>
        <v>8.2636377715048486</v>
      </c>
      <c r="AE105" s="109">
        <f>AE59/$AT$59*cases2!$B$6</f>
        <v>3.3425068364720651</v>
      </c>
      <c r="AF105" s="109">
        <f>AF59/$AT$59*cases2!$B$6</f>
        <v>2.6294311215338073</v>
      </c>
      <c r="AG105" s="109">
        <f>AG59/$AT$59*cases2!$B$6</f>
        <v>68.197532693319616</v>
      </c>
      <c r="AH105" s="109">
        <f>AH59/$AT$59*cases2!$B$6</f>
        <v>1.569375552759998</v>
      </c>
      <c r="AI105" s="109">
        <f>AI59/$AT$59*cases2!$B$6</f>
        <v>7.7182426630300869</v>
      </c>
      <c r="AJ105" s="109">
        <f>AJ59/$AT$59*cases2!$B$6</f>
        <v>6.6147388005326629E-2</v>
      </c>
      <c r="AK105" s="26">
        <f t="shared" si="5"/>
        <v>668.05230568482375</v>
      </c>
      <c r="AL105" s="109">
        <f>AL59/$AT$59*cases2!$B$6</f>
        <v>33.930364361903663</v>
      </c>
      <c r="AM105" s="109">
        <f>AM59/$AT$59*cases2!$B$6</f>
        <v>0</v>
      </c>
      <c r="AN105" s="109">
        <f>AN59/$AT$59*cases2!$B$6</f>
        <v>0</v>
      </c>
      <c r="AO105" s="109">
        <f>AO59/$AT$59*cases2!$B$6</f>
        <v>0</v>
      </c>
      <c r="AP105" s="109">
        <f>AP59/$AT$59*cases2!$B$6</f>
        <v>4.2141553688131284</v>
      </c>
      <c r="AQ105" s="109">
        <f>AQ59/$AT$59*cases2!$B$6</f>
        <v>0</v>
      </c>
      <c r="AR105" s="109">
        <f>AR59/$AT$59*cases2!$B$6</f>
        <v>293.80317458445961</v>
      </c>
      <c r="AS105" s="26">
        <f t="shared" si="6"/>
        <v>331.94769431517642</v>
      </c>
      <c r="AT105" s="27">
        <f t="shared" si="7"/>
        <v>961.85548026928336</v>
      </c>
      <c r="AU105" s="110"/>
      <c r="AV105" s="109"/>
      <c r="AW105" s="109"/>
      <c r="AX105" s="109"/>
      <c r="AY105" s="109"/>
      <c r="AZ105" s="109"/>
      <c r="BA105" s="111"/>
    </row>
    <row r="106" spans="1:53" ht="13.5" customHeight="1">
      <c r="A106" s="72" t="s">
        <v>51</v>
      </c>
      <c r="B106" s="77" t="s">
        <v>9</v>
      </c>
      <c r="C106" s="38">
        <v>36617</v>
      </c>
      <c r="D106" s="38">
        <v>8918</v>
      </c>
      <c r="E106" s="38">
        <v>905256</v>
      </c>
      <c r="F106" s="38">
        <v>41584</v>
      </c>
      <c r="G106" s="38">
        <v>59557</v>
      </c>
      <c r="H106" s="38">
        <v>153911</v>
      </c>
      <c r="I106" s="38">
        <v>1621302.9173601517</v>
      </c>
      <c r="J106" s="73">
        <v>2.0826398484205293</v>
      </c>
      <c r="K106" s="38">
        <v>7622593</v>
      </c>
      <c r="L106" s="38">
        <v>3265699</v>
      </c>
      <c r="M106" s="38">
        <v>612991</v>
      </c>
      <c r="N106" s="38">
        <v>1987167</v>
      </c>
      <c r="O106" s="38">
        <v>1806637</v>
      </c>
      <c r="P106" s="38">
        <v>511290</v>
      </c>
      <c r="Q106" s="38">
        <v>2300485</v>
      </c>
      <c r="R106" s="38">
        <v>257029</v>
      </c>
      <c r="S106" s="38">
        <v>203556</v>
      </c>
      <c r="T106" s="38">
        <v>-152005</v>
      </c>
      <c r="U106" s="38">
        <v>187593</v>
      </c>
      <c r="V106" s="38">
        <v>29763706</v>
      </c>
      <c r="W106" s="38">
        <v>119481</v>
      </c>
      <c r="X106" s="38">
        <v>76745</v>
      </c>
      <c r="Y106" s="38">
        <v>742147</v>
      </c>
      <c r="Z106" s="38">
        <v>13661</v>
      </c>
      <c r="AA106" s="38">
        <v>3896</v>
      </c>
      <c r="AB106" s="38">
        <v>84202</v>
      </c>
      <c r="AC106" s="38">
        <v>340999</v>
      </c>
      <c r="AD106" s="38">
        <v>226159</v>
      </c>
      <c r="AE106" s="38">
        <v>331107</v>
      </c>
      <c r="AF106" s="38">
        <v>142765</v>
      </c>
      <c r="AG106" s="38">
        <v>71373</v>
      </c>
      <c r="AH106" s="38">
        <v>141732</v>
      </c>
      <c r="AI106" s="38">
        <v>56146</v>
      </c>
      <c r="AJ106" s="38">
        <v>4568</v>
      </c>
      <c r="AK106" s="26">
        <f t="shared" si="5"/>
        <v>53548870</v>
      </c>
      <c r="AL106" s="38">
        <v>181273</v>
      </c>
      <c r="AM106" s="38">
        <v>0</v>
      </c>
      <c r="AN106" s="38">
        <v>0</v>
      </c>
      <c r="AO106" s="38">
        <v>0</v>
      </c>
      <c r="AP106" s="38">
        <v>187387</v>
      </c>
      <c r="AQ106" s="38">
        <v>0</v>
      </c>
      <c r="AR106" s="38">
        <v>4781328</v>
      </c>
      <c r="AS106" s="26">
        <f t="shared" si="6"/>
        <v>5149988</v>
      </c>
      <c r="AT106" s="27">
        <f t="shared" si="7"/>
        <v>58330198</v>
      </c>
      <c r="AU106" s="42"/>
      <c r="AV106" s="38"/>
      <c r="AW106" s="38"/>
      <c r="AX106" s="38"/>
      <c r="AY106" s="38"/>
      <c r="AZ106" s="38"/>
      <c r="BA106" s="27"/>
    </row>
    <row r="107" spans="1:53" ht="13.5" customHeight="1">
      <c r="A107" s="72" t="s">
        <v>52</v>
      </c>
      <c r="B107" s="77" t="s">
        <v>10</v>
      </c>
      <c r="C107" s="38">
        <v>91111</v>
      </c>
      <c r="D107" s="38">
        <v>8196</v>
      </c>
      <c r="E107" s="38">
        <v>26239</v>
      </c>
      <c r="F107" s="38">
        <v>2697</v>
      </c>
      <c r="G107" s="38">
        <v>45720</v>
      </c>
      <c r="H107" s="38">
        <v>562107</v>
      </c>
      <c r="I107" s="38">
        <v>3388709.1160690989</v>
      </c>
      <c r="J107" s="73">
        <v>2.8839309011172864</v>
      </c>
      <c r="K107" s="38">
        <v>903550</v>
      </c>
      <c r="L107" s="38">
        <v>62564642</v>
      </c>
      <c r="M107" s="38">
        <v>26175296</v>
      </c>
      <c r="N107" s="38">
        <v>6708120</v>
      </c>
      <c r="O107" s="38">
        <v>18310513</v>
      </c>
      <c r="P107" s="38">
        <v>13493061</v>
      </c>
      <c r="Q107" s="38">
        <v>26369922</v>
      </c>
      <c r="R107" s="38">
        <v>1765850</v>
      </c>
      <c r="S107" s="38">
        <v>1069388</v>
      </c>
      <c r="T107" s="38">
        <v>413958</v>
      </c>
      <c r="U107" s="38">
        <v>170727</v>
      </c>
      <c r="V107" s="38">
        <v>25701309</v>
      </c>
      <c r="W107" s="38">
        <v>-713</v>
      </c>
      <c r="X107" s="38">
        <v>132195</v>
      </c>
      <c r="Y107" s="38">
        <v>27276</v>
      </c>
      <c r="Z107" s="38">
        <v>-21236</v>
      </c>
      <c r="AA107" s="38">
        <v>-69</v>
      </c>
      <c r="AB107" s="38">
        <v>-534</v>
      </c>
      <c r="AC107" s="38">
        <v>435186</v>
      </c>
      <c r="AD107" s="38">
        <v>1189</v>
      </c>
      <c r="AE107" s="38">
        <v>3109</v>
      </c>
      <c r="AF107" s="38">
        <v>-19677</v>
      </c>
      <c r="AG107" s="38">
        <v>366089</v>
      </c>
      <c r="AH107" s="38">
        <v>-4842</v>
      </c>
      <c r="AI107" s="38">
        <v>-29801</v>
      </c>
      <c r="AJ107" s="38">
        <v>9136</v>
      </c>
      <c r="AK107" s="26">
        <f t="shared" si="5"/>
        <v>188668426</v>
      </c>
      <c r="AL107" s="38">
        <v>-731720</v>
      </c>
      <c r="AM107" s="38">
        <v>0</v>
      </c>
      <c r="AN107" s="38">
        <v>-3134918</v>
      </c>
      <c r="AO107" s="38">
        <v>-83309</v>
      </c>
      <c r="AP107" s="38">
        <v>118320</v>
      </c>
      <c r="AQ107" s="38">
        <v>163833</v>
      </c>
      <c r="AR107" s="38">
        <v>59288136</v>
      </c>
      <c r="AS107" s="26">
        <f t="shared" si="6"/>
        <v>55620342</v>
      </c>
      <c r="AT107" s="27">
        <f t="shared" si="7"/>
        <v>247956562</v>
      </c>
      <c r="AU107" s="42"/>
      <c r="AV107" s="38"/>
      <c r="AW107" s="38"/>
      <c r="AX107" s="38"/>
      <c r="AY107" s="38"/>
      <c r="AZ107" s="38"/>
      <c r="BA107" s="27"/>
    </row>
    <row r="108" spans="1:53" ht="13.5" customHeight="1">
      <c r="A108" s="72" t="s">
        <v>53</v>
      </c>
      <c r="B108" s="77" t="s">
        <v>54</v>
      </c>
      <c r="C108" s="38">
        <v>77940</v>
      </c>
      <c r="D108" s="38">
        <v>117861</v>
      </c>
      <c r="E108" s="38">
        <v>2371080</v>
      </c>
      <c r="F108" s="38">
        <v>248175</v>
      </c>
      <c r="G108" s="38">
        <v>609407</v>
      </c>
      <c r="H108" s="38">
        <v>2900135</v>
      </c>
      <c r="I108" s="38">
        <v>2673616.3178722081</v>
      </c>
      <c r="J108" s="73">
        <v>4.6821277920415634</v>
      </c>
      <c r="K108" s="38">
        <v>667203</v>
      </c>
      <c r="L108" s="38">
        <v>1573739</v>
      </c>
      <c r="M108" s="38">
        <v>20929812</v>
      </c>
      <c r="N108" s="38">
        <v>2705363</v>
      </c>
      <c r="O108" s="38">
        <v>5224767</v>
      </c>
      <c r="P108" s="38">
        <v>19768968</v>
      </c>
      <c r="Q108" s="38">
        <v>18833190</v>
      </c>
      <c r="R108" s="38">
        <v>1490999</v>
      </c>
      <c r="S108" s="38">
        <v>1288202</v>
      </c>
      <c r="T108" s="38">
        <v>869133</v>
      </c>
      <c r="U108" s="38">
        <v>548021</v>
      </c>
      <c r="V108" s="38">
        <v>25476298</v>
      </c>
      <c r="W108" s="38">
        <v>1147254</v>
      </c>
      <c r="X108" s="38">
        <v>1077767</v>
      </c>
      <c r="Y108" s="38">
        <v>1741987</v>
      </c>
      <c r="Z108" s="38">
        <v>251710</v>
      </c>
      <c r="AA108" s="38">
        <v>141513</v>
      </c>
      <c r="AB108" s="38">
        <v>200822</v>
      </c>
      <c r="AC108" s="38">
        <v>1247365</v>
      </c>
      <c r="AD108" s="38">
        <v>1101443</v>
      </c>
      <c r="AE108" s="38">
        <v>1742143</v>
      </c>
      <c r="AF108" s="38">
        <v>474147</v>
      </c>
      <c r="AG108" s="38">
        <v>355816</v>
      </c>
      <c r="AH108" s="38">
        <v>255624</v>
      </c>
      <c r="AI108" s="38">
        <v>953188</v>
      </c>
      <c r="AJ108" s="38">
        <v>15794</v>
      </c>
      <c r="AK108" s="26">
        <f t="shared" si="5"/>
        <v>119080487</v>
      </c>
      <c r="AL108" s="38">
        <v>1887217</v>
      </c>
      <c r="AM108" s="38">
        <v>0</v>
      </c>
      <c r="AN108" s="38">
        <v>6527800</v>
      </c>
      <c r="AO108" s="38">
        <v>2370938</v>
      </c>
      <c r="AP108" s="38">
        <v>174696</v>
      </c>
      <c r="AQ108" s="38">
        <v>0</v>
      </c>
      <c r="AR108" s="38">
        <v>17376557</v>
      </c>
      <c r="AS108" s="26">
        <f t="shared" si="6"/>
        <v>28337208</v>
      </c>
      <c r="AT108" s="27">
        <f t="shared" si="7"/>
        <v>136457044</v>
      </c>
      <c r="AU108" s="42"/>
      <c r="AV108" s="38"/>
      <c r="AW108" s="38"/>
      <c r="AX108" s="38"/>
      <c r="AY108" s="38"/>
      <c r="AZ108" s="38"/>
      <c r="BA108" s="27"/>
    </row>
    <row r="109" spans="1:53" ht="13.5" customHeight="1">
      <c r="A109" s="72" t="s">
        <v>55</v>
      </c>
      <c r="B109" s="77" t="s">
        <v>56</v>
      </c>
      <c r="C109" s="38">
        <v>181673</v>
      </c>
      <c r="D109" s="38">
        <v>13321</v>
      </c>
      <c r="E109" s="38">
        <v>179518</v>
      </c>
      <c r="F109" s="38">
        <v>41611</v>
      </c>
      <c r="G109" s="38">
        <v>229681</v>
      </c>
      <c r="H109" s="38">
        <v>822010</v>
      </c>
      <c r="I109" s="38">
        <v>730147.74729454634</v>
      </c>
      <c r="J109" s="73">
        <v>1.2527054537033613</v>
      </c>
      <c r="K109" s="38">
        <v>94215</v>
      </c>
      <c r="L109" s="38">
        <v>473834</v>
      </c>
      <c r="M109" s="38">
        <v>1129751</v>
      </c>
      <c r="N109" s="38">
        <v>111091806</v>
      </c>
      <c r="O109" s="38">
        <v>14357957</v>
      </c>
      <c r="P109" s="38">
        <v>8884238</v>
      </c>
      <c r="Q109" s="38">
        <v>11446256</v>
      </c>
      <c r="R109" s="38">
        <v>150345</v>
      </c>
      <c r="S109" s="38">
        <v>2381775</v>
      </c>
      <c r="T109" s="38">
        <v>1173725</v>
      </c>
      <c r="U109" s="38">
        <v>449580</v>
      </c>
      <c r="V109" s="38">
        <v>1185699</v>
      </c>
      <c r="W109" s="38">
        <v>3095517</v>
      </c>
      <c r="X109" s="38">
        <v>872734</v>
      </c>
      <c r="Y109" s="38">
        <v>1525087</v>
      </c>
      <c r="Z109" s="38">
        <v>10007238</v>
      </c>
      <c r="AA109" s="38">
        <v>604376</v>
      </c>
      <c r="AB109" s="38">
        <v>631498</v>
      </c>
      <c r="AC109" s="38">
        <v>13688295</v>
      </c>
      <c r="AD109" s="38">
        <v>1617811</v>
      </c>
      <c r="AE109" s="38">
        <v>1101557</v>
      </c>
      <c r="AF109" s="38">
        <v>1963339</v>
      </c>
      <c r="AG109" s="38">
        <v>4361931</v>
      </c>
      <c r="AH109" s="38">
        <v>523425</v>
      </c>
      <c r="AI109" s="38">
        <v>2615814</v>
      </c>
      <c r="AJ109" s="38">
        <v>51754</v>
      </c>
      <c r="AK109" s="26">
        <f t="shared" si="5"/>
        <v>197677520</v>
      </c>
      <c r="AL109" s="38">
        <v>25091325</v>
      </c>
      <c r="AM109" s="38">
        <v>0</v>
      </c>
      <c r="AN109" s="38">
        <v>30155221</v>
      </c>
      <c r="AO109" s="38">
        <v>4162495</v>
      </c>
      <c r="AP109" s="38">
        <v>486519</v>
      </c>
      <c r="AQ109" s="38">
        <v>0</v>
      </c>
      <c r="AR109" s="38">
        <v>191050500</v>
      </c>
      <c r="AS109" s="26">
        <f t="shared" si="6"/>
        <v>250946060</v>
      </c>
      <c r="AT109" s="27">
        <f t="shared" si="7"/>
        <v>388728020</v>
      </c>
      <c r="AU109" s="42"/>
      <c r="AV109" s="38"/>
      <c r="AW109" s="38"/>
      <c r="AX109" s="38"/>
      <c r="AY109" s="38"/>
      <c r="AZ109" s="38"/>
      <c r="BA109" s="27"/>
    </row>
    <row r="110" spans="1:53" ht="13.5" customHeight="1">
      <c r="A110" s="72" t="s">
        <v>57</v>
      </c>
      <c r="B110" s="77" t="s">
        <v>58</v>
      </c>
      <c r="C110" s="38">
        <v>127130</v>
      </c>
      <c r="D110" s="38">
        <v>94350</v>
      </c>
      <c r="E110" s="38">
        <v>134004</v>
      </c>
      <c r="F110" s="38">
        <v>66778</v>
      </c>
      <c r="G110" s="38">
        <v>206216</v>
      </c>
      <c r="H110" s="38">
        <v>469945</v>
      </c>
      <c r="I110" s="38">
        <v>534498.05003808765</v>
      </c>
      <c r="J110" s="73">
        <v>0.94996191238251726</v>
      </c>
      <c r="K110" s="38">
        <v>332306</v>
      </c>
      <c r="L110" s="38">
        <v>548446</v>
      </c>
      <c r="M110" s="38">
        <v>1395586</v>
      </c>
      <c r="N110" s="38">
        <v>8141816</v>
      </c>
      <c r="O110" s="38">
        <v>43904389</v>
      </c>
      <c r="P110" s="38">
        <v>8454471</v>
      </c>
      <c r="Q110" s="38">
        <v>25867522</v>
      </c>
      <c r="R110" s="38">
        <v>311865</v>
      </c>
      <c r="S110" s="38">
        <v>2037205</v>
      </c>
      <c r="T110" s="38">
        <v>2146060</v>
      </c>
      <c r="U110" s="38">
        <v>972943</v>
      </c>
      <c r="V110" s="38">
        <v>15485158</v>
      </c>
      <c r="W110" s="38">
        <v>1888909</v>
      </c>
      <c r="X110" s="38">
        <v>3253534</v>
      </c>
      <c r="Y110" s="38">
        <v>2548408</v>
      </c>
      <c r="Z110" s="38">
        <v>3173256</v>
      </c>
      <c r="AA110" s="38">
        <v>368769</v>
      </c>
      <c r="AB110" s="38">
        <v>850238</v>
      </c>
      <c r="AC110" s="38">
        <v>8335414</v>
      </c>
      <c r="AD110" s="38">
        <v>2483438</v>
      </c>
      <c r="AE110" s="38">
        <v>982153</v>
      </c>
      <c r="AF110" s="38">
        <v>785992</v>
      </c>
      <c r="AG110" s="38">
        <v>597813</v>
      </c>
      <c r="AH110" s="38">
        <v>457683</v>
      </c>
      <c r="AI110" s="38">
        <v>3195593</v>
      </c>
      <c r="AJ110" s="38">
        <v>11785</v>
      </c>
      <c r="AK110" s="26">
        <f t="shared" si="5"/>
        <v>140163674</v>
      </c>
      <c r="AL110" s="38">
        <v>11254160</v>
      </c>
      <c r="AM110" s="38">
        <v>0</v>
      </c>
      <c r="AN110" s="38">
        <v>15865555</v>
      </c>
      <c r="AO110" s="38">
        <v>302355</v>
      </c>
      <c r="AP110" s="38">
        <v>-360625</v>
      </c>
      <c r="AQ110" s="38">
        <v>0</v>
      </c>
      <c r="AR110" s="38">
        <v>46805116</v>
      </c>
      <c r="AS110" s="26">
        <f t="shared" si="6"/>
        <v>73866561</v>
      </c>
      <c r="AT110" s="27">
        <f t="shared" si="7"/>
        <v>186968790</v>
      </c>
      <c r="AU110" s="42"/>
      <c r="AV110" s="38"/>
      <c r="AW110" s="38"/>
      <c r="AX110" s="38"/>
      <c r="AY110" s="38"/>
      <c r="AZ110" s="38"/>
      <c r="BA110" s="27"/>
    </row>
    <row r="111" spans="1:53" ht="13.5" customHeight="1">
      <c r="A111" s="72" t="s">
        <v>59</v>
      </c>
      <c r="B111" s="77" t="s">
        <v>11</v>
      </c>
      <c r="C111" s="38">
        <v>129919</v>
      </c>
      <c r="D111" s="38">
        <v>120796</v>
      </c>
      <c r="E111" s="38">
        <v>347920</v>
      </c>
      <c r="F111" s="38">
        <v>31863</v>
      </c>
      <c r="G111" s="38">
        <v>94508</v>
      </c>
      <c r="H111" s="38">
        <v>1382092</v>
      </c>
      <c r="I111" s="38">
        <v>788528</v>
      </c>
      <c r="J111" s="73">
        <v>100</v>
      </c>
      <c r="K111" s="38">
        <v>155078</v>
      </c>
      <c r="L111" s="38">
        <v>734140</v>
      </c>
      <c r="M111" s="38">
        <v>2600060</v>
      </c>
      <c r="N111" s="38">
        <v>1519513</v>
      </c>
      <c r="O111" s="38">
        <v>1498282</v>
      </c>
      <c r="P111" s="38">
        <v>39011415</v>
      </c>
      <c r="Q111" s="38">
        <v>9746821</v>
      </c>
      <c r="R111" s="38">
        <v>56187</v>
      </c>
      <c r="S111" s="38">
        <v>1472837</v>
      </c>
      <c r="T111" s="38">
        <v>1127344</v>
      </c>
      <c r="U111" s="38">
        <v>1179355</v>
      </c>
      <c r="V111" s="38">
        <v>11223089</v>
      </c>
      <c r="W111" s="38">
        <v>650365</v>
      </c>
      <c r="X111" s="38">
        <v>989282</v>
      </c>
      <c r="Y111" s="38">
        <v>370234</v>
      </c>
      <c r="Z111" s="38">
        <v>128658</v>
      </c>
      <c r="AA111" s="38">
        <v>50603</v>
      </c>
      <c r="AB111" s="38">
        <v>337724</v>
      </c>
      <c r="AC111" s="38">
        <v>1323848</v>
      </c>
      <c r="AD111" s="38">
        <v>383679</v>
      </c>
      <c r="AE111" s="38">
        <v>539228</v>
      </c>
      <c r="AF111" s="38">
        <v>368941</v>
      </c>
      <c r="AG111" s="38">
        <v>247391</v>
      </c>
      <c r="AH111" s="38">
        <v>151440</v>
      </c>
      <c r="AI111" s="38">
        <v>135707</v>
      </c>
      <c r="AJ111" s="38">
        <v>6506</v>
      </c>
      <c r="AK111" s="26">
        <f t="shared" si="5"/>
        <v>78903453</v>
      </c>
      <c r="AL111" s="38">
        <v>2796216</v>
      </c>
      <c r="AM111" s="38">
        <v>0</v>
      </c>
      <c r="AN111" s="38">
        <v>90764774</v>
      </c>
      <c r="AO111" s="38">
        <v>1006484</v>
      </c>
      <c r="AP111" s="38">
        <v>229139</v>
      </c>
      <c r="AQ111" s="38">
        <v>0</v>
      </c>
      <c r="AR111" s="38">
        <v>70735546</v>
      </c>
      <c r="AS111" s="26">
        <f t="shared" si="6"/>
        <v>165532159</v>
      </c>
      <c r="AT111" s="27">
        <f t="shared" si="7"/>
        <v>149638999</v>
      </c>
      <c r="AU111" s="42"/>
      <c r="AV111" s="38"/>
      <c r="AW111" s="38"/>
      <c r="AX111" s="38"/>
      <c r="AY111" s="38"/>
      <c r="AZ111" s="38"/>
      <c r="BA111" s="27"/>
    </row>
    <row r="112" spans="1:53" ht="13.5" customHeight="1">
      <c r="A112" s="72" t="s">
        <v>60</v>
      </c>
      <c r="B112" s="77" t="s">
        <v>12</v>
      </c>
      <c r="C112" s="38">
        <v>214292</v>
      </c>
      <c r="D112" s="38">
        <v>171746</v>
      </c>
      <c r="E112" s="38">
        <v>36186</v>
      </c>
      <c r="F112" s="38">
        <v>13210</v>
      </c>
      <c r="G112" s="38">
        <v>88391</v>
      </c>
      <c r="H112" s="38">
        <v>261289</v>
      </c>
      <c r="I112" s="38">
        <v>302512.43789051368</v>
      </c>
      <c r="J112" s="73">
        <v>0.56210948633998048</v>
      </c>
      <c r="K112" s="38">
        <v>199501</v>
      </c>
      <c r="L112" s="38">
        <v>171865</v>
      </c>
      <c r="M112" s="38">
        <v>276460</v>
      </c>
      <c r="N112" s="38">
        <v>16439</v>
      </c>
      <c r="O112" s="38">
        <v>89307</v>
      </c>
      <c r="P112" s="38">
        <v>701786</v>
      </c>
      <c r="Q112" s="38">
        <v>96037051</v>
      </c>
      <c r="R112" s="38">
        <v>18832</v>
      </c>
      <c r="S112" s="38">
        <v>3598588</v>
      </c>
      <c r="T112" s="38">
        <v>153854</v>
      </c>
      <c r="U112" s="38">
        <v>575492</v>
      </c>
      <c r="V112" s="38">
        <v>37247</v>
      </c>
      <c r="W112" s="38">
        <v>681877</v>
      </c>
      <c r="X112" s="38">
        <v>10079696</v>
      </c>
      <c r="Y112" s="38">
        <v>179329</v>
      </c>
      <c r="Z112" s="38">
        <v>151437</v>
      </c>
      <c r="AA112" s="38">
        <v>22514</v>
      </c>
      <c r="AB112" s="38">
        <v>43088</v>
      </c>
      <c r="AC112" s="38">
        <v>3650026</v>
      </c>
      <c r="AD112" s="38">
        <v>876040</v>
      </c>
      <c r="AE112" s="38">
        <v>3578727</v>
      </c>
      <c r="AF112" s="38">
        <v>166906</v>
      </c>
      <c r="AG112" s="38">
        <v>225780</v>
      </c>
      <c r="AH112" s="38">
        <v>108240</v>
      </c>
      <c r="AI112" s="38">
        <v>7993657</v>
      </c>
      <c r="AJ112" s="38">
        <v>7888</v>
      </c>
      <c r="AK112" s="26">
        <f t="shared" si="5"/>
        <v>130729254</v>
      </c>
      <c r="AL112" s="38">
        <v>40901705</v>
      </c>
      <c r="AM112" s="38">
        <v>0</v>
      </c>
      <c r="AN112" s="38">
        <v>42292727</v>
      </c>
      <c r="AO112" s="38">
        <v>13019884</v>
      </c>
      <c r="AP112" s="38">
        <v>3133154</v>
      </c>
      <c r="AQ112" s="38">
        <v>0</v>
      </c>
      <c r="AR112" s="38">
        <v>157357500</v>
      </c>
      <c r="AS112" s="26">
        <f t="shared" si="6"/>
        <v>256704970</v>
      </c>
      <c r="AT112" s="27">
        <f t="shared" si="7"/>
        <v>288086754</v>
      </c>
      <c r="AU112" s="42"/>
      <c r="AV112" s="38"/>
      <c r="AW112" s="38"/>
      <c r="AX112" s="38"/>
      <c r="AY112" s="38"/>
      <c r="AZ112" s="38"/>
      <c r="BA112" s="27"/>
    </row>
    <row r="113" spans="1:53" ht="13.5" customHeight="1">
      <c r="A113" s="72" t="s">
        <v>61</v>
      </c>
      <c r="B113" s="77" t="s">
        <v>135</v>
      </c>
      <c r="C113" s="38">
        <v>13043</v>
      </c>
      <c r="D113" s="38">
        <v>4348</v>
      </c>
      <c r="E113" s="38">
        <v>265784</v>
      </c>
      <c r="F113" s="38">
        <v>400619</v>
      </c>
      <c r="G113" s="38">
        <v>49555</v>
      </c>
      <c r="H113" s="38">
        <v>19543</v>
      </c>
      <c r="I113" s="38">
        <v>63825.907243230256</v>
      </c>
      <c r="J113" s="73">
        <v>9.275676974681614E-2</v>
      </c>
      <c r="K113" s="38">
        <v>9664</v>
      </c>
      <c r="L113" s="38">
        <v>32816</v>
      </c>
      <c r="M113" s="38">
        <v>127540</v>
      </c>
      <c r="N113" s="38">
        <v>53518</v>
      </c>
      <c r="O113" s="38">
        <v>39413</v>
      </c>
      <c r="P113" s="38">
        <v>60546</v>
      </c>
      <c r="Q113" s="38">
        <v>58127</v>
      </c>
      <c r="R113" s="38">
        <v>1765026</v>
      </c>
      <c r="S113" s="38">
        <v>211009</v>
      </c>
      <c r="T113" s="38">
        <v>19253</v>
      </c>
      <c r="U113" s="38">
        <v>201605</v>
      </c>
      <c r="V113" s="38">
        <v>2450611</v>
      </c>
      <c r="W113" s="38">
        <v>958311</v>
      </c>
      <c r="X113" s="38">
        <v>218259</v>
      </c>
      <c r="Y113" s="38">
        <v>2773762</v>
      </c>
      <c r="Z113" s="38">
        <v>459712</v>
      </c>
      <c r="AA113" s="38">
        <v>238915</v>
      </c>
      <c r="AB113" s="38">
        <v>984873</v>
      </c>
      <c r="AC113" s="38">
        <v>1963776</v>
      </c>
      <c r="AD113" s="38">
        <v>962940</v>
      </c>
      <c r="AE113" s="38">
        <v>659646</v>
      </c>
      <c r="AF113" s="38">
        <v>2473529</v>
      </c>
      <c r="AG113" s="38">
        <v>820745</v>
      </c>
      <c r="AH113" s="38">
        <v>1323183</v>
      </c>
      <c r="AI113" s="38">
        <v>807734</v>
      </c>
      <c r="AJ113" s="38">
        <v>11875</v>
      </c>
      <c r="AK113" s="26">
        <f t="shared" si="5"/>
        <v>20503106</v>
      </c>
      <c r="AL113" s="38">
        <v>10947329</v>
      </c>
      <c r="AM113" s="38">
        <v>0</v>
      </c>
      <c r="AN113" s="38">
        <v>4161544</v>
      </c>
      <c r="AO113" s="38">
        <v>210426</v>
      </c>
      <c r="AP113" s="38">
        <v>166929</v>
      </c>
      <c r="AQ113" s="38">
        <v>1489650</v>
      </c>
      <c r="AR113" s="38">
        <v>3980497</v>
      </c>
      <c r="AS113" s="26">
        <f t="shared" si="6"/>
        <v>20956375</v>
      </c>
      <c r="AT113" s="27">
        <f t="shared" si="7"/>
        <v>24483603</v>
      </c>
      <c r="AU113" s="42"/>
      <c r="AV113" s="38"/>
      <c r="AW113" s="38"/>
      <c r="AX113" s="38"/>
      <c r="AY113" s="38"/>
      <c r="AZ113" s="38"/>
      <c r="BA113" s="27"/>
    </row>
    <row r="114" spans="1:53" ht="13.5" customHeight="1">
      <c r="A114" s="72" t="s">
        <v>63</v>
      </c>
      <c r="B114" s="77" t="s">
        <v>64</v>
      </c>
      <c r="C114" s="38">
        <v>242070</v>
      </c>
      <c r="D114" s="38">
        <v>152155</v>
      </c>
      <c r="E114" s="38">
        <v>5486522</v>
      </c>
      <c r="F114" s="38">
        <v>9985095</v>
      </c>
      <c r="G114" s="38">
        <v>1801603</v>
      </c>
      <c r="H114" s="38">
        <v>435565</v>
      </c>
      <c r="I114" s="38">
        <v>9541651.0404655579</v>
      </c>
      <c r="J114" s="73">
        <v>17.959534442301969</v>
      </c>
      <c r="K114" s="38">
        <v>1369996</v>
      </c>
      <c r="L114" s="38">
        <v>4224299</v>
      </c>
      <c r="M114" s="38">
        <v>5725936</v>
      </c>
      <c r="N114" s="38">
        <v>18958535</v>
      </c>
      <c r="O114" s="38">
        <v>6950897</v>
      </c>
      <c r="P114" s="38">
        <v>12079284</v>
      </c>
      <c r="Q114" s="38">
        <v>8404373</v>
      </c>
      <c r="R114" s="38">
        <v>2035952</v>
      </c>
      <c r="S114" s="38">
        <v>12334112</v>
      </c>
      <c r="T114" s="38">
        <v>411980</v>
      </c>
      <c r="U114" s="38">
        <v>403424</v>
      </c>
      <c r="V114" s="38">
        <v>190115</v>
      </c>
      <c r="W114" s="38">
        <v>524872</v>
      </c>
      <c r="X114" s="38">
        <v>87915</v>
      </c>
      <c r="Y114" s="38">
        <v>119377</v>
      </c>
      <c r="Z114" s="38">
        <v>257520</v>
      </c>
      <c r="AA114" s="38">
        <v>52047</v>
      </c>
      <c r="AB114" s="38">
        <v>76140</v>
      </c>
      <c r="AC114" s="38">
        <v>312264</v>
      </c>
      <c r="AD114" s="38">
        <v>1017368</v>
      </c>
      <c r="AE114" s="38">
        <v>230996</v>
      </c>
      <c r="AF114" s="38">
        <v>285366</v>
      </c>
      <c r="AG114" s="38">
        <v>1116365</v>
      </c>
      <c r="AH114" s="38">
        <v>128510</v>
      </c>
      <c r="AI114" s="38">
        <v>55174</v>
      </c>
      <c r="AJ114" s="38">
        <v>1492</v>
      </c>
      <c r="AK114" s="26">
        <f t="shared" si="5"/>
        <v>104998988</v>
      </c>
      <c r="AL114" s="38">
        <v>28837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4155270</v>
      </c>
      <c r="AS114" s="26">
        <f t="shared" si="6"/>
        <v>4184107</v>
      </c>
      <c r="AT114" s="27">
        <f t="shared" si="7"/>
        <v>109154258</v>
      </c>
      <c r="AU114" s="42"/>
      <c r="AV114" s="38"/>
      <c r="AW114" s="38"/>
      <c r="AX114" s="38"/>
      <c r="AY114" s="38"/>
      <c r="AZ114" s="38"/>
      <c r="BA114" s="27"/>
    </row>
    <row r="115" spans="1:53" ht="13.5" customHeight="1">
      <c r="A115" s="72" t="s">
        <v>65</v>
      </c>
      <c r="B115" s="77" t="s">
        <v>13</v>
      </c>
      <c r="C115" s="38">
        <v>1767890</v>
      </c>
      <c r="D115" s="38">
        <v>309520</v>
      </c>
      <c r="E115" s="38">
        <v>3418331</v>
      </c>
      <c r="F115" s="38">
        <v>1482512</v>
      </c>
      <c r="G115" s="38">
        <v>2587944</v>
      </c>
      <c r="H115" s="38">
        <v>4698075</v>
      </c>
      <c r="I115" s="38">
        <v>13644306</v>
      </c>
      <c r="J115" s="73">
        <v>200</v>
      </c>
      <c r="K115" s="38">
        <v>2510460</v>
      </c>
      <c r="L115" s="38">
        <v>13713403</v>
      </c>
      <c r="M115" s="38">
        <v>1874689</v>
      </c>
      <c r="N115" s="38">
        <v>10769625</v>
      </c>
      <c r="O115" s="38">
        <v>1765024</v>
      </c>
      <c r="P115" s="38">
        <v>2141590</v>
      </c>
      <c r="Q115" s="38">
        <v>4950664</v>
      </c>
      <c r="R115" s="38">
        <v>197778</v>
      </c>
      <c r="S115" s="38">
        <v>810329</v>
      </c>
      <c r="T115" s="38">
        <v>25782761</v>
      </c>
      <c r="U115" s="38">
        <v>909490</v>
      </c>
      <c r="V115" s="38">
        <v>748789</v>
      </c>
      <c r="W115" s="38">
        <v>3749316</v>
      </c>
      <c r="X115" s="38">
        <v>3699428</v>
      </c>
      <c r="Y115" s="38">
        <v>1395483</v>
      </c>
      <c r="Z115" s="38">
        <v>1207141</v>
      </c>
      <c r="AA115" s="38">
        <v>1004513</v>
      </c>
      <c r="AB115" s="38">
        <v>2119641</v>
      </c>
      <c r="AC115" s="38">
        <v>6920949</v>
      </c>
      <c r="AD115" s="38">
        <v>477521</v>
      </c>
      <c r="AE115" s="38">
        <v>1132201</v>
      </c>
      <c r="AF115" s="38">
        <v>3465835</v>
      </c>
      <c r="AG115" s="38">
        <v>1954483</v>
      </c>
      <c r="AH115" s="38">
        <v>920786</v>
      </c>
      <c r="AI115" s="38">
        <v>777356</v>
      </c>
      <c r="AJ115" s="38">
        <v>2523</v>
      </c>
      <c r="AK115" s="26">
        <f t="shared" si="5"/>
        <v>122910556</v>
      </c>
      <c r="AL115" s="38">
        <v>28833591</v>
      </c>
      <c r="AM115" s="38">
        <v>0</v>
      </c>
      <c r="AN115" s="38">
        <v>0</v>
      </c>
      <c r="AO115" s="38">
        <v>0</v>
      </c>
      <c r="AP115" s="38">
        <v>0</v>
      </c>
      <c r="AQ115" s="38">
        <v>0</v>
      </c>
      <c r="AR115" s="38">
        <v>163506</v>
      </c>
      <c r="AS115" s="26">
        <f t="shared" si="6"/>
        <v>28997097</v>
      </c>
      <c r="AT115" s="27">
        <f t="shared" si="7"/>
        <v>123074062</v>
      </c>
      <c r="AU115" s="42"/>
      <c r="AV115" s="38"/>
      <c r="AW115" s="38"/>
      <c r="AX115" s="38"/>
      <c r="AY115" s="38"/>
      <c r="AZ115" s="38"/>
      <c r="BA115" s="27"/>
    </row>
    <row r="116" spans="1:53" ht="13.5" customHeight="1">
      <c r="A116" s="72" t="s">
        <v>66</v>
      </c>
      <c r="B116" s="77" t="s">
        <v>67</v>
      </c>
      <c r="C116" s="38">
        <v>89368</v>
      </c>
      <c r="D116" s="38">
        <v>14541</v>
      </c>
      <c r="E116" s="38">
        <v>826779</v>
      </c>
      <c r="F116" s="38">
        <v>386115</v>
      </c>
      <c r="G116" s="38">
        <v>575476</v>
      </c>
      <c r="H116" s="38">
        <v>130595</v>
      </c>
      <c r="I116" s="38">
        <v>4924306.1122185094</v>
      </c>
      <c r="J116" s="73">
        <v>9.8877814904713581</v>
      </c>
      <c r="K116" s="38">
        <v>637797</v>
      </c>
      <c r="L116" s="38">
        <v>5187656</v>
      </c>
      <c r="M116" s="38">
        <v>905612</v>
      </c>
      <c r="N116" s="38">
        <v>235320</v>
      </c>
      <c r="O116" s="38">
        <v>281475</v>
      </c>
      <c r="P116" s="38">
        <v>742523</v>
      </c>
      <c r="Q116" s="38">
        <v>461476</v>
      </c>
      <c r="R116" s="38">
        <v>55082</v>
      </c>
      <c r="S116" s="38">
        <v>255182</v>
      </c>
      <c r="T116" s="38">
        <v>332905</v>
      </c>
      <c r="U116" s="38">
        <v>2236474</v>
      </c>
      <c r="V116" s="38">
        <v>341237</v>
      </c>
      <c r="W116" s="38">
        <v>165479</v>
      </c>
      <c r="X116" s="38">
        <v>464005</v>
      </c>
      <c r="Y116" s="38">
        <v>2878054</v>
      </c>
      <c r="Z116" s="38">
        <v>361325</v>
      </c>
      <c r="AA116" s="38">
        <v>303706</v>
      </c>
      <c r="AB116" s="38">
        <v>2573899</v>
      </c>
      <c r="AC116" s="38">
        <v>1005874</v>
      </c>
      <c r="AD116" s="38">
        <v>452566</v>
      </c>
      <c r="AE116" s="38">
        <v>1046785</v>
      </c>
      <c r="AF116" s="38">
        <v>1383081</v>
      </c>
      <c r="AG116" s="38">
        <v>1977621</v>
      </c>
      <c r="AH116" s="38">
        <v>421875</v>
      </c>
      <c r="AI116" s="38">
        <v>627650</v>
      </c>
      <c r="AJ116" s="38">
        <v>8234</v>
      </c>
      <c r="AK116" s="26">
        <f t="shared" si="5"/>
        <v>32290083</v>
      </c>
      <c r="AL116" s="38">
        <v>5621462</v>
      </c>
      <c r="AM116" s="38">
        <v>3376692</v>
      </c>
      <c r="AN116" s="38">
        <v>0</v>
      </c>
      <c r="AO116" s="38">
        <v>0</v>
      </c>
      <c r="AP116" s="38">
        <v>0</v>
      </c>
      <c r="AQ116" s="38">
        <v>0</v>
      </c>
      <c r="AR116" s="38">
        <v>703138</v>
      </c>
      <c r="AS116" s="26">
        <f t="shared" si="6"/>
        <v>9701292</v>
      </c>
      <c r="AT116" s="27">
        <f t="shared" si="7"/>
        <v>32993221</v>
      </c>
      <c r="AU116" s="42"/>
      <c r="AV116" s="38"/>
      <c r="AW116" s="38"/>
      <c r="AX116" s="38"/>
      <c r="AY116" s="38"/>
      <c r="AZ116" s="38"/>
      <c r="BA116" s="27"/>
    </row>
    <row r="117" spans="1:53" ht="13.5" customHeight="1">
      <c r="A117" s="72" t="s">
        <v>68</v>
      </c>
      <c r="B117" s="77" t="s">
        <v>14</v>
      </c>
      <c r="C117" s="38">
        <v>88514</v>
      </c>
      <c r="D117" s="38">
        <v>32490</v>
      </c>
      <c r="E117" s="38">
        <v>115964</v>
      </c>
      <c r="F117" s="38">
        <v>17981</v>
      </c>
      <c r="G117" s="38">
        <v>52301</v>
      </c>
      <c r="H117" s="38">
        <v>105287</v>
      </c>
      <c r="I117" s="38">
        <v>239146.51869444415</v>
      </c>
      <c r="J117" s="73">
        <v>0.48130555584690365</v>
      </c>
      <c r="K117" s="38">
        <v>35374</v>
      </c>
      <c r="L117" s="38">
        <v>173084</v>
      </c>
      <c r="M117" s="38">
        <v>142250</v>
      </c>
      <c r="N117" s="38">
        <v>79641</v>
      </c>
      <c r="O117" s="38">
        <v>106790</v>
      </c>
      <c r="P117" s="38">
        <v>86476</v>
      </c>
      <c r="Q117" s="38">
        <v>23178</v>
      </c>
      <c r="R117" s="38">
        <v>15431</v>
      </c>
      <c r="S117" s="38">
        <v>19997</v>
      </c>
      <c r="T117" s="38">
        <v>294042</v>
      </c>
      <c r="U117" s="38">
        <v>116218</v>
      </c>
      <c r="V117" s="38">
        <v>22772</v>
      </c>
      <c r="W117" s="38">
        <v>382154</v>
      </c>
      <c r="X117" s="38">
        <v>135823</v>
      </c>
      <c r="Y117" s="38">
        <v>862064</v>
      </c>
      <c r="Z117" s="38">
        <v>378330</v>
      </c>
      <c r="AA117" s="38">
        <v>59155</v>
      </c>
      <c r="AB117" s="38">
        <v>18831564</v>
      </c>
      <c r="AC117" s="38">
        <v>837373</v>
      </c>
      <c r="AD117" s="38">
        <v>366211</v>
      </c>
      <c r="AE117" s="38">
        <v>850453</v>
      </c>
      <c r="AF117" s="38">
        <v>169025</v>
      </c>
      <c r="AG117" s="38">
        <v>98138</v>
      </c>
      <c r="AH117" s="38">
        <v>151080</v>
      </c>
      <c r="AI117" s="38">
        <v>166440</v>
      </c>
      <c r="AJ117" s="38">
        <v>8090</v>
      </c>
      <c r="AK117" s="26">
        <f t="shared" si="5"/>
        <v>25062837</v>
      </c>
      <c r="AL117" s="38">
        <v>0</v>
      </c>
      <c r="AM117" s="38">
        <v>0</v>
      </c>
      <c r="AN117" s="38">
        <v>239341758</v>
      </c>
      <c r="AO117" s="38">
        <v>75543183</v>
      </c>
      <c r="AP117" s="38">
        <v>2120576</v>
      </c>
      <c r="AQ117" s="38">
        <v>0</v>
      </c>
      <c r="AR117" s="38">
        <v>171495</v>
      </c>
      <c r="AS117" s="26">
        <f t="shared" si="6"/>
        <v>317177012</v>
      </c>
      <c r="AT117" s="27">
        <f t="shared" si="7"/>
        <v>25234332</v>
      </c>
      <c r="AU117" s="42"/>
      <c r="AV117" s="38"/>
      <c r="AW117" s="38"/>
      <c r="AX117" s="38"/>
      <c r="AY117" s="38"/>
      <c r="AZ117" s="38"/>
      <c r="BA117" s="27"/>
    </row>
    <row r="118" spans="1:53" ht="13.5" customHeight="1">
      <c r="A118" s="72" t="s">
        <v>69</v>
      </c>
      <c r="B118" s="77" t="s">
        <v>70</v>
      </c>
      <c r="C118" s="38">
        <v>4017209</v>
      </c>
      <c r="D118" s="38">
        <v>92735</v>
      </c>
      <c r="E118" s="38">
        <v>13462055</v>
      </c>
      <c r="F118" s="38">
        <v>6233010</v>
      </c>
      <c r="G118" s="38">
        <v>3475883</v>
      </c>
      <c r="H118" s="38">
        <v>2667447</v>
      </c>
      <c r="I118" s="38">
        <v>16297604.790265253</v>
      </c>
      <c r="J118" s="73">
        <v>31.209734747886156</v>
      </c>
      <c r="K118" s="38">
        <v>2168116</v>
      </c>
      <c r="L118" s="38">
        <v>4793951</v>
      </c>
      <c r="M118" s="38">
        <v>4627359</v>
      </c>
      <c r="N118" s="38">
        <v>12829244</v>
      </c>
      <c r="O118" s="38">
        <v>7574944</v>
      </c>
      <c r="P118" s="38">
        <v>7673225</v>
      </c>
      <c r="Q118" s="38">
        <v>14473615</v>
      </c>
      <c r="R118" s="38">
        <v>2501432</v>
      </c>
      <c r="S118" s="38">
        <v>2360968</v>
      </c>
      <c r="T118" s="38">
        <v>3590237</v>
      </c>
      <c r="U118" s="38">
        <v>1036779</v>
      </c>
      <c r="V118" s="38">
        <v>12332647</v>
      </c>
      <c r="W118" s="38">
        <v>17942218</v>
      </c>
      <c r="X118" s="38">
        <v>3342006</v>
      </c>
      <c r="Y118" s="38">
        <v>17133669</v>
      </c>
      <c r="Z118" s="38">
        <v>8902929</v>
      </c>
      <c r="AA118" s="38">
        <v>532693</v>
      </c>
      <c r="AB118" s="38">
        <v>771050</v>
      </c>
      <c r="AC118" s="38">
        <v>6796534</v>
      </c>
      <c r="AD118" s="38">
        <v>2561456</v>
      </c>
      <c r="AE118" s="38">
        <v>2237644</v>
      </c>
      <c r="AF118" s="38">
        <v>2524334</v>
      </c>
      <c r="AG118" s="38">
        <v>13549614</v>
      </c>
      <c r="AH118" s="38">
        <v>1885064</v>
      </c>
      <c r="AI118" s="38">
        <v>3582370</v>
      </c>
      <c r="AJ118" s="38">
        <v>43486</v>
      </c>
      <c r="AK118" s="26">
        <f t="shared" si="5"/>
        <v>204013559</v>
      </c>
      <c r="AL118" s="38">
        <v>134942015</v>
      </c>
      <c r="AM118" s="38">
        <v>0</v>
      </c>
      <c r="AN118" s="38">
        <v>20207842</v>
      </c>
      <c r="AO118" s="38">
        <v>1806222</v>
      </c>
      <c r="AP118" s="38">
        <v>582671</v>
      </c>
      <c r="AQ118" s="38">
        <v>578417</v>
      </c>
      <c r="AR118" s="38">
        <v>39426548</v>
      </c>
      <c r="AS118" s="26">
        <f t="shared" si="6"/>
        <v>197543715</v>
      </c>
      <c r="AT118" s="27">
        <f t="shared" si="7"/>
        <v>243440107</v>
      </c>
      <c r="AU118" s="42"/>
      <c r="AV118" s="38"/>
      <c r="AW118" s="38"/>
      <c r="AX118" s="38"/>
      <c r="AY118" s="38"/>
      <c r="AZ118" s="38"/>
      <c r="BA118" s="27"/>
    </row>
    <row r="119" spans="1:53" ht="13.5" customHeight="1">
      <c r="A119" s="72" t="s">
        <v>71</v>
      </c>
      <c r="B119" s="77" t="s">
        <v>42</v>
      </c>
      <c r="C119" s="38">
        <v>1919167</v>
      </c>
      <c r="D119" s="38">
        <v>799284</v>
      </c>
      <c r="E119" s="38">
        <v>6346706</v>
      </c>
      <c r="F119" s="38">
        <v>2668966</v>
      </c>
      <c r="G119" s="38">
        <v>2365196</v>
      </c>
      <c r="H119" s="38">
        <v>1716791</v>
      </c>
      <c r="I119" s="38">
        <v>11761451.759522457</v>
      </c>
      <c r="J119" s="73">
        <v>23.240477543601457</v>
      </c>
      <c r="K119" s="38">
        <v>5779159</v>
      </c>
      <c r="L119" s="38">
        <v>5382372</v>
      </c>
      <c r="M119" s="38">
        <v>3816276</v>
      </c>
      <c r="N119" s="38">
        <v>4240610</v>
      </c>
      <c r="O119" s="38">
        <v>2821897</v>
      </c>
      <c r="P119" s="38">
        <v>4171193</v>
      </c>
      <c r="Q119" s="38">
        <v>3826162</v>
      </c>
      <c r="R119" s="38">
        <v>1062698</v>
      </c>
      <c r="S119" s="38">
        <v>1535413</v>
      </c>
      <c r="T119" s="38">
        <v>700835</v>
      </c>
      <c r="U119" s="38">
        <v>3021647</v>
      </c>
      <c r="V119" s="38">
        <v>3493413</v>
      </c>
      <c r="W119" s="38">
        <v>30984703</v>
      </c>
      <c r="X119" s="38">
        <v>36280065</v>
      </c>
      <c r="Y119" s="38">
        <v>3439509</v>
      </c>
      <c r="Z119" s="38">
        <v>1733366</v>
      </c>
      <c r="AA119" s="38">
        <v>763410</v>
      </c>
      <c r="AB119" s="38">
        <v>734963</v>
      </c>
      <c r="AC119" s="38">
        <v>4637907</v>
      </c>
      <c r="AD119" s="38">
        <v>2409856</v>
      </c>
      <c r="AE119" s="38">
        <v>2789128</v>
      </c>
      <c r="AF119" s="38">
        <v>779792</v>
      </c>
      <c r="AG119" s="38">
        <v>1650316</v>
      </c>
      <c r="AH119" s="38">
        <v>456533</v>
      </c>
      <c r="AI119" s="38">
        <v>1197763</v>
      </c>
      <c r="AJ119" s="38">
        <v>194310</v>
      </c>
      <c r="AK119" s="26">
        <f t="shared" si="5"/>
        <v>155480881</v>
      </c>
      <c r="AL119" s="38">
        <v>46349360</v>
      </c>
      <c r="AM119" s="38">
        <v>0</v>
      </c>
      <c r="AN119" s="38">
        <v>454497</v>
      </c>
      <c r="AO119" s="38">
        <v>177198</v>
      </c>
      <c r="AP119" s="38">
        <v>90062</v>
      </c>
      <c r="AQ119" s="38">
        <v>9663</v>
      </c>
      <c r="AR119" s="38">
        <v>51177729</v>
      </c>
      <c r="AS119" s="26">
        <f t="shared" si="6"/>
        <v>98258509</v>
      </c>
      <c r="AT119" s="27">
        <f t="shared" si="7"/>
        <v>206658610</v>
      </c>
      <c r="AU119" s="42"/>
      <c r="AV119" s="38"/>
      <c r="AW119" s="38"/>
      <c r="AX119" s="38"/>
      <c r="AY119" s="38"/>
      <c r="AZ119" s="38"/>
      <c r="BA119" s="27"/>
    </row>
    <row r="120" spans="1:53" ht="13.5" customHeight="1">
      <c r="A120" s="72" t="s">
        <v>72</v>
      </c>
      <c r="B120" s="77" t="s">
        <v>15</v>
      </c>
      <c r="C120" s="38">
        <v>486496</v>
      </c>
      <c r="D120" s="38">
        <v>118589</v>
      </c>
      <c r="E120" s="38">
        <v>714237</v>
      </c>
      <c r="F120" s="38">
        <v>554536</v>
      </c>
      <c r="G120" s="38">
        <v>579581</v>
      </c>
      <c r="H120" s="38">
        <v>281811</v>
      </c>
      <c r="I120" s="38">
        <v>1877937.4403341797</v>
      </c>
      <c r="J120" s="73">
        <v>3.5596658203160585</v>
      </c>
      <c r="K120" s="38">
        <v>397497</v>
      </c>
      <c r="L120" s="38">
        <v>909887</v>
      </c>
      <c r="M120" s="38">
        <v>1188218</v>
      </c>
      <c r="N120" s="38">
        <v>1271637</v>
      </c>
      <c r="O120" s="38">
        <v>654787</v>
      </c>
      <c r="P120" s="38">
        <v>1409906</v>
      </c>
      <c r="Q120" s="38">
        <v>1251367</v>
      </c>
      <c r="R120" s="38">
        <v>249705</v>
      </c>
      <c r="S120" s="38">
        <v>2627810</v>
      </c>
      <c r="T120" s="38">
        <v>395221</v>
      </c>
      <c r="U120" s="38">
        <v>706263</v>
      </c>
      <c r="V120" s="38">
        <v>1124688</v>
      </c>
      <c r="W120" s="38">
        <v>16374635</v>
      </c>
      <c r="X120" s="38">
        <v>2603168</v>
      </c>
      <c r="Y120" s="38">
        <v>1489195</v>
      </c>
      <c r="Z120" s="38">
        <v>3506755</v>
      </c>
      <c r="AA120" s="38">
        <v>4440413</v>
      </c>
      <c r="AB120" s="38">
        <v>2669324</v>
      </c>
      <c r="AC120" s="38">
        <v>13245276</v>
      </c>
      <c r="AD120" s="38">
        <v>4849979</v>
      </c>
      <c r="AE120" s="38">
        <v>5957103</v>
      </c>
      <c r="AF120" s="38">
        <v>4252669</v>
      </c>
      <c r="AG120" s="38">
        <v>5569033</v>
      </c>
      <c r="AH120" s="38">
        <v>2299807</v>
      </c>
      <c r="AI120" s="38">
        <v>5143416</v>
      </c>
      <c r="AJ120" s="38">
        <v>7472</v>
      </c>
      <c r="AK120" s="26">
        <f t="shared" si="5"/>
        <v>89208422</v>
      </c>
      <c r="AL120" s="38">
        <v>143478057</v>
      </c>
      <c r="AM120" s="38">
        <v>0</v>
      </c>
      <c r="AN120" s="38">
        <v>0</v>
      </c>
      <c r="AO120" s="38">
        <v>0</v>
      </c>
      <c r="AP120" s="38">
        <v>0</v>
      </c>
      <c r="AQ120" s="38">
        <v>0</v>
      </c>
      <c r="AR120" s="38">
        <v>10651506</v>
      </c>
      <c r="AS120" s="26">
        <f t="shared" si="6"/>
        <v>154129563</v>
      </c>
      <c r="AT120" s="27">
        <f t="shared" si="7"/>
        <v>99859928</v>
      </c>
      <c r="AU120" s="42"/>
      <c r="AV120" s="38"/>
      <c r="AW120" s="38"/>
      <c r="AX120" s="38"/>
      <c r="AY120" s="38"/>
      <c r="AZ120" s="38"/>
      <c r="BA120" s="27"/>
    </row>
    <row r="121" spans="1:53" ht="13.5" customHeight="1">
      <c r="A121" s="72" t="s">
        <v>73</v>
      </c>
      <c r="B121" s="77" t="s">
        <v>136</v>
      </c>
      <c r="C121" s="38">
        <v>188130</v>
      </c>
      <c r="D121" s="38">
        <v>26237</v>
      </c>
      <c r="E121" s="38">
        <v>380285</v>
      </c>
      <c r="F121" s="38">
        <v>190878</v>
      </c>
      <c r="G121" s="38">
        <v>371296</v>
      </c>
      <c r="H121" s="38">
        <v>552800</v>
      </c>
      <c r="I121" s="38">
        <v>883075.44382445584</v>
      </c>
      <c r="J121" s="73">
        <v>1.5561755441015928</v>
      </c>
      <c r="K121" s="38">
        <v>168970</v>
      </c>
      <c r="L121" s="38">
        <v>631418</v>
      </c>
      <c r="M121" s="38">
        <v>565439</v>
      </c>
      <c r="N121" s="38">
        <v>1494611</v>
      </c>
      <c r="O121" s="38">
        <v>449424</v>
      </c>
      <c r="P121" s="38">
        <v>653347</v>
      </c>
      <c r="Q121" s="38">
        <v>799174</v>
      </c>
      <c r="R121" s="38">
        <v>268440</v>
      </c>
      <c r="S121" s="38">
        <v>621396</v>
      </c>
      <c r="T121" s="38">
        <v>203385</v>
      </c>
      <c r="U121" s="38">
        <v>580315</v>
      </c>
      <c r="V121" s="38">
        <v>863463</v>
      </c>
      <c r="W121" s="38">
        <v>10892513</v>
      </c>
      <c r="X121" s="38">
        <v>2462241</v>
      </c>
      <c r="Y121" s="38">
        <v>2378818</v>
      </c>
      <c r="Z121" s="38">
        <v>36692460</v>
      </c>
      <c r="AA121" s="38">
        <v>10613194</v>
      </c>
      <c r="AB121" s="38">
        <v>1313214</v>
      </c>
      <c r="AC121" s="38">
        <v>23465329</v>
      </c>
      <c r="AD121" s="38">
        <v>2729996</v>
      </c>
      <c r="AE121" s="38">
        <v>4923042</v>
      </c>
      <c r="AF121" s="38">
        <v>4578307</v>
      </c>
      <c r="AG121" s="38">
        <v>1581861</v>
      </c>
      <c r="AH121" s="38">
        <v>4156063</v>
      </c>
      <c r="AI121" s="38">
        <v>1552462</v>
      </c>
      <c r="AJ121" s="38">
        <v>39355</v>
      </c>
      <c r="AK121" s="26">
        <f t="shared" si="5"/>
        <v>117270940</v>
      </c>
      <c r="AL121" s="38">
        <v>57033560</v>
      </c>
      <c r="AM121" s="38">
        <v>0</v>
      </c>
      <c r="AN121" s="38">
        <v>43922864</v>
      </c>
      <c r="AO121" s="38">
        <v>791918</v>
      </c>
      <c r="AP121" s="38">
        <v>37855</v>
      </c>
      <c r="AQ121" s="38">
        <v>0</v>
      </c>
      <c r="AR121" s="38">
        <v>21485525</v>
      </c>
      <c r="AS121" s="26">
        <f t="shared" si="6"/>
        <v>123271722</v>
      </c>
      <c r="AT121" s="27">
        <f t="shared" si="7"/>
        <v>138756465</v>
      </c>
      <c r="AU121" s="42"/>
      <c r="AV121" s="38"/>
      <c r="AW121" s="38"/>
      <c r="AX121" s="38"/>
      <c r="AY121" s="38"/>
      <c r="AZ121" s="38"/>
      <c r="BA121" s="27"/>
    </row>
    <row r="122" spans="1:53" ht="13.5" customHeight="1">
      <c r="A122" s="72" t="s">
        <v>74</v>
      </c>
      <c r="B122" s="77" t="s">
        <v>137</v>
      </c>
      <c r="C122" s="38">
        <v>1170064</v>
      </c>
      <c r="D122" s="38">
        <v>65479</v>
      </c>
      <c r="E122" s="38">
        <v>1831397</v>
      </c>
      <c r="F122" s="38">
        <v>1070524</v>
      </c>
      <c r="G122" s="38">
        <v>845742</v>
      </c>
      <c r="H122" s="38">
        <v>1187810</v>
      </c>
      <c r="I122" s="38">
        <v>4178057.7579749385</v>
      </c>
      <c r="J122" s="73">
        <v>8.2420250615096986</v>
      </c>
      <c r="K122" s="38">
        <v>684791</v>
      </c>
      <c r="L122" s="38">
        <v>1732784</v>
      </c>
      <c r="M122" s="38">
        <v>1829612</v>
      </c>
      <c r="N122" s="38">
        <v>2949714</v>
      </c>
      <c r="O122" s="38">
        <v>1708449</v>
      </c>
      <c r="P122" s="38">
        <v>2643984</v>
      </c>
      <c r="Q122" s="38">
        <v>3028415</v>
      </c>
      <c r="R122" s="38">
        <v>377441</v>
      </c>
      <c r="S122" s="38">
        <v>688620</v>
      </c>
      <c r="T122" s="38">
        <v>1513844</v>
      </c>
      <c r="U122" s="38">
        <v>716668</v>
      </c>
      <c r="V122" s="38">
        <v>4692734</v>
      </c>
      <c r="W122" s="38">
        <v>9394744</v>
      </c>
      <c r="X122" s="38">
        <v>2698034</v>
      </c>
      <c r="Y122" s="38">
        <v>3596568</v>
      </c>
      <c r="Z122" s="38">
        <v>2479141</v>
      </c>
      <c r="AA122" s="38">
        <v>42355592</v>
      </c>
      <c r="AB122" s="38">
        <v>21428865</v>
      </c>
      <c r="AC122" s="38">
        <v>3519114</v>
      </c>
      <c r="AD122" s="38">
        <v>1570014</v>
      </c>
      <c r="AE122" s="38">
        <v>4774938</v>
      </c>
      <c r="AF122" s="38">
        <v>3079717</v>
      </c>
      <c r="AG122" s="38">
        <v>4478359</v>
      </c>
      <c r="AH122" s="38">
        <v>1171943</v>
      </c>
      <c r="AI122" s="38">
        <v>1838555</v>
      </c>
      <c r="AJ122" s="38">
        <v>0</v>
      </c>
      <c r="AK122" s="26">
        <f t="shared" si="5"/>
        <v>135301722</v>
      </c>
      <c r="AL122" s="38">
        <v>94642976</v>
      </c>
      <c r="AM122" s="38">
        <v>149222</v>
      </c>
      <c r="AN122" s="38">
        <v>0</v>
      </c>
      <c r="AO122" s="38">
        <v>0</v>
      </c>
      <c r="AP122" s="38">
        <v>0</v>
      </c>
      <c r="AQ122" s="38">
        <v>0</v>
      </c>
      <c r="AR122" s="38">
        <v>9183457</v>
      </c>
      <c r="AS122" s="26">
        <f t="shared" si="6"/>
        <v>103975655</v>
      </c>
      <c r="AT122" s="27">
        <f t="shared" si="7"/>
        <v>144485179</v>
      </c>
      <c r="AU122" s="42"/>
      <c r="AV122" s="38"/>
      <c r="AW122" s="38"/>
      <c r="AX122" s="38"/>
      <c r="AY122" s="38"/>
      <c r="AZ122" s="38"/>
      <c r="BA122" s="27"/>
    </row>
    <row r="123" spans="1:53" ht="13.5" customHeight="1">
      <c r="A123" s="72" t="s">
        <v>75</v>
      </c>
      <c r="B123" s="77" t="s">
        <v>76</v>
      </c>
      <c r="C123" s="38">
        <v>35782</v>
      </c>
      <c r="D123" s="38">
        <v>6525</v>
      </c>
      <c r="E123" s="38">
        <v>355125</v>
      </c>
      <c r="F123" s="38">
        <v>278962</v>
      </c>
      <c r="G123" s="38">
        <v>194301</v>
      </c>
      <c r="H123" s="38">
        <v>125920</v>
      </c>
      <c r="I123" s="38">
        <v>476380.07614957716</v>
      </c>
      <c r="J123" s="73">
        <v>0.92385042282568697</v>
      </c>
      <c r="K123" s="38">
        <v>68563</v>
      </c>
      <c r="L123" s="38">
        <v>208273</v>
      </c>
      <c r="M123" s="38">
        <v>211950</v>
      </c>
      <c r="N123" s="38">
        <v>350672</v>
      </c>
      <c r="O123" s="38">
        <v>334244</v>
      </c>
      <c r="P123" s="38">
        <v>210151</v>
      </c>
      <c r="Q123" s="38">
        <v>324469</v>
      </c>
      <c r="R123" s="38">
        <v>144474</v>
      </c>
      <c r="S123" s="38">
        <v>448306</v>
      </c>
      <c r="T123" s="38">
        <v>74004</v>
      </c>
      <c r="U123" s="38">
        <v>540288</v>
      </c>
      <c r="V123" s="38">
        <v>533213</v>
      </c>
      <c r="W123" s="38">
        <v>19558837</v>
      </c>
      <c r="X123" s="38">
        <v>1784815</v>
      </c>
      <c r="Y123" s="38">
        <v>10709339</v>
      </c>
      <c r="Z123" s="38">
        <v>2207460</v>
      </c>
      <c r="AA123" s="38">
        <v>3792337</v>
      </c>
      <c r="AB123" s="38">
        <v>7890746</v>
      </c>
      <c r="AC123" s="38">
        <v>9191886</v>
      </c>
      <c r="AD123" s="38">
        <v>2186463</v>
      </c>
      <c r="AE123" s="38">
        <v>1163421</v>
      </c>
      <c r="AF123" s="38">
        <v>3880427</v>
      </c>
      <c r="AG123" s="38">
        <v>4078970</v>
      </c>
      <c r="AH123" s="38">
        <v>633246</v>
      </c>
      <c r="AI123" s="38">
        <v>1824621</v>
      </c>
      <c r="AJ123" s="38">
        <v>3335</v>
      </c>
      <c r="AK123" s="26">
        <f t="shared" si="5"/>
        <v>73827506</v>
      </c>
      <c r="AL123" s="38">
        <v>153308641</v>
      </c>
      <c r="AM123" s="38">
        <v>0</v>
      </c>
      <c r="AN123" s="38">
        <v>45947699</v>
      </c>
      <c r="AO123" s="38">
        <v>16733</v>
      </c>
      <c r="AP123" s="38">
        <v>0</v>
      </c>
      <c r="AQ123" s="38">
        <v>0</v>
      </c>
      <c r="AR123" s="38">
        <v>321254</v>
      </c>
      <c r="AS123" s="26">
        <f t="shared" si="6"/>
        <v>199594327</v>
      </c>
      <c r="AT123" s="27">
        <f t="shared" si="7"/>
        <v>74148760</v>
      </c>
      <c r="AU123" s="42"/>
      <c r="AV123" s="38"/>
      <c r="AW123" s="38"/>
      <c r="AX123" s="38"/>
      <c r="AY123" s="38"/>
      <c r="AZ123" s="38"/>
      <c r="BA123" s="27"/>
    </row>
    <row r="124" spans="1:53" ht="13.5" customHeight="1">
      <c r="A124" s="72" t="s">
        <v>77</v>
      </c>
      <c r="B124" s="77" t="s">
        <v>43</v>
      </c>
      <c r="C124" s="38">
        <v>1230473</v>
      </c>
      <c r="D124" s="38">
        <v>257566</v>
      </c>
      <c r="E124" s="38">
        <v>9618973</v>
      </c>
      <c r="F124" s="38">
        <v>1881685</v>
      </c>
      <c r="G124" s="38">
        <v>1682908</v>
      </c>
      <c r="H124" s="38">
        <v>3511875</v>
      </c>
      <c r="I124" s="38">
        <v>18948019.070464</v>
      </c>
      <c r="J124" s="73">
        <v>33.929535998560318</v>
      </c>
      <c r="K124" s="38">
        <v>2179447</v>
      </c>
      <c r="L124" s="38">
        <v>7371240</v>
      </c>
      <c r="M124" s="38">
        <v>4295878</v>
      </c>
      <c r="N124" s="38">
        <v>11626563</v>
      </c>
      <c r="O124" s="38">
        <v>6823690</v>
      </c>
      <c r="P124" s="38">
        <v>7505694</v>
      </c>
      <c r="Q124" s="38">
        <v>12591254</v>
      </c>
      <c r="R124" s="38">
        <v>1360367</v>
      </c>
      <c r="S124" s="38">
        <v>3805291</v>
      </c>
      <c r="T124" s="38">
        <v>2280424</v>
      </c>
      <c r="U124" s="38">
        <v>2936927</v>
      </c>
      <c r="V124" s="38">
        <v>28622476</v>
      </c>
      <c r="W124" s="38">
        <v>22823766</v>
      </c>
      <c r="X124" s="38">
        <v>7912817</v>
      </c>
      <c r="Y124" s="38">
        <v>5094884</v>
      </c>
      <c r="Z124" s="38">
        <v>14986875</v>
      </c>
      <c r="AA124" s="38">
        <v>6840647</v>
      </c>
      <c r="AB124" s="38">
        <v>4227609</v>
      </c>
      <c r="AC124" s="38">
        <v>24810456</v>
      </c>
      <c r="AD124" s="38">
        <v>6999656</v>
      </c>
      <c r="AE124" s="38">
        <v>3481462</v>
      </c>
      <c r="AF124" s="38">
        <v>4600680</v>
      </c>
      <c r="AG124" s="38">
        <v>1629722</v>
      </c>
      <c r="AH124" s="38">
        <v>1508855</v>
      </c>
      <c r="AI124" s="38">
        <v>2418433</v>
      </c>
      <c r="AJ124" s="38">
        <v>7349</v>
      </c>
      <c r="AK124" s="26">
        <f t="shared" si="5"/>
        <v>235873995</v>
      </c>
      <c r="AL124" s="38">
        <v>6460233</v>
      </c>
      <c r="AM124" s="38">
        <v>0</v>
      </c>
      <c r="AN124" s="38">
        <v>104012843</v>
      </c>
      <c r="AO124" s="38">
        <v>15365704</v>
      </c>
      <c r="AP124" s="38">
        <v>0</v>
      </c>
      <c r="AQ124" s="38">
        <v>0</v>
      </c>
      <c r="AR124" s="38">
        <v>31221303</v>
      </c>
      <c r="AS124" s="26">
        <f t="shared" si="6"/>
        <v>157060083</v>
      </c>
      <c r="AT124" s="27">
        <f t="shared" si="7"/>
        <v>267095298</v>
      </c>
      <c r="AU124" s="42"/>
      <c r="AV124" s="38"/>
      <c r="AW124" s="38"/>
      <c r="AX124" s="38"/>
      <c r="AY124" s="38"/>
      <c r="AZ124" s="38"/>
      <c r="BA124" s="27"/>
    </row>
    <row r="125" spans="1:53" ht="13.5" customHeight="1">
      <c r="A125" s="72" t="s">
        <v>78</v>
      </c>
      <c r="B125" s="77" t="s">
        <v>18</v>
      </c>
      <c r="C125" s="38">
        <v>232607</v>
      </c>
      <c r="D125" s="38">
        <v>256192</v>
      </c>
      <c r="E125" s="38">
        <v>888725</v>
      </c>
      <c r="F125" s="38">
        <v>524167</v>
      </c>
      <c r="G125" s="38">
        <v>659457</v>
      </c>
      <c r="H125" s="38">
        <v>811324</v>
      </c>
      <c r="I125" s="38">
        <v>1947728.7934108675</v>
      </c>
      <c r="J125" s="73">
        <v>3.2065891325232885</v>
      </c>
      <c r="K125" s="38">
        <v>341697</v>
      </c>
      <c r="L125" s="38">
        <v>2356312</v>
      </c>
      <c r="M125" s="38">
        <v>1409721</v>
      </c>
      <c r="N125" s="38">
        <v>2786694</v>
      </c>
      <c r="O125" s="38">
        <v>1013169</v>
      </c>
      <c r="P125" s="38">
        <v>895704</v>
      </c>
      <c r="Q125" s="38">
        <v>4645446</v>
      </c>
      <c r="R125" s="38">
        <v>216223</v>
      </c>
      <c r="S125" s="38">
        <v>4217670</v>
      </c>
      <c r="T125" s="38">
        <v>1358339</v>
      </c>
      <c r="U125" s="38">
        <v>1595665</v>
      </c>
      <c r="V125" s="38">
        <v>9747820</v>
      </c>
      <c r="W125" s="38">
        <v>13062215</v>
      </c>
      <c r="X125" s="38">
        <v>12267348</v>
      </c>
      <c r="Y125" s="38">
        <v>1916900</v>
      </c>
      <c r="Z125" s="38">
        <v>9694849</v>
      </c>
      <c r="AA125" s="38">
        <v>9964464</v>
      </c>
      <c r="AB125" s="38">
        <v>12003595</v>
      </c>
      <c r="AC125" s="38">
        <v>17187438</v>
      </c>
      <c r="AD125" s="38">
        <v>12801755</v>
      </c>
      <c r="AE125" s="38">
        <v>5960451</v>
      </c>
      <c r="AF125" s="38">
        <v>3886241</v>
      </c>
      <c r="AG125" s="38">
        <v>3157354</v>
      </c>
      <c r="AH125" s="38">
        <v>3473401</v>
      </c>
      <c r="AI125" s="38">
        <v>928798</v>
      </c>
      <c r="AJ125" s="38">
        <v>5248</v>
      </c>
      <c r="AK125" s="26">
        <f t="shared" si="5"/>
        <v>142214721</v>
      </c>
      <c r="AL125" s="38">
        <v>8531599</v>
      </c>
      <c r="AM125" s="38">
        <v>0</v>
      </c>
      <c r="AN125" s="38">
        <v>0</v>
      </c>
      <c r="AO125" s="38">
        <v>0</v>
      </c>
      <c r="AP125" s="38">
        <v>0</v>
      </c>
      <c r="AQ125" s="38">
        <v>0</v>
      </c>
      <c r="AR125" s="38">
        <v>15690205</v>
      </c>
      <c r="AS125" s="26">
        <f t="shared" si="6"/>
        <v>24221804</v>
      </c>
      <c r="AT125" s="27">
        <f t="shared" si="7"/>
        <v>157904926</v>
      </c>
      <c r="AU125" s="42"/>
      <c r="AV125" s="38"/>
      <c r="AW125" s="38"/>
      <c r="AX125" s="38"/>
      <c r="AY125" s="38"/>
      <c r="AZ125" s="38"/>
      <c r="BA125" s="27"/>
    </row>
    <row r="126" spans="1:53" ht="13.5" customHeight="1">
      <c r="A126" s="72" t="s">
        <v>79</v>
      </c>
      <c r="B126" s="77" t="s">
        <v>80</v>
      </c>
      <c r="C126" s="38">
        <v>109126</v>
      </c>
      <c r="D126" s="38">
        <v>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73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658474</v>
      </c>
      <c r="Y126" s="38">
        <v>0</v>
      </c>
      <c r="Z126" s="38">
        <v>0</v>
      </c>
      <c r="AA126" s="38">
        <v>0</v>
      </c>
      <c r="AB126" s="38">
        <v>0</v>
      </c>
      <c r="AC126" s="38">
        <v>0</v>
      </c>
      <c r="AD126" s="38">
        <v>0</v>
      </c>
      <c r="AE126" s="38">
        <v>0</v>
      </c>
      <c r="AF126" s="38">
        <v>0</v>
      </c>
      <c r="AG126" s="38">
        <v>0</v>
      </c>
      <c r="AH126" s="38">
        <v>0</v>
      </c>
      <c r="AI126" s="38">
        <v>0</v>
      </c>
      <c r="AJ126" s="38">
        <v>4326091</v>
      </c>
      <c r="AK126" s="26">
        <f t="shared" si="5"/>
        <v>5093691</v>
      </c>
      <c r="AL126" s="38">
        <v>4098405</v>
      </c>
      <c r="AM126" s="38">
        <v>193826946</v>
      </c>
      <c r="AN126" s="38">
        <v>0</v>
      </c>
      <c r="AO126" s="38">
        <v>0</v>
      </c>
      <c r="AP126" s="38">
        <v>0</v>
      </c>
      <c r="AQ126" s="38">
        <v>0</v>
      </c>
      <c r="AR126" s="38">
        <v>34003</v>
      </c>
      <c r="AS126" s="26">
        <f t="shared" si="6"/>
        <v>197959354</v>
      </c>
      <c r="AT126" s="27">
        <f t="shared" si="7"/>
        <v>5127694</v>
      </c>
      <c r="AU126" s="42"/>
      <c r="AV126" s="38"/>
      <c r="AW126" s="38"/>
      <c r="AX126" s="38"/>
      <c r="AY126" s="38"/>
      <c r="AZ126" s="38"/>
      <c r="BA126" s="27"/>
    </row>
    <row r="127" spans="1:53" ht="13.5" customHeight="1">
      <c r="A127" s="72" t="s">
        <v>81</v>
      </c>
      <c r="B127" s="77" t="s">
        <v>19</v>
      </c>
      <c r="C127" s="38">
        <v>3254</v>
      </c>
      <c r="D127" s="38">
        <v>1120</v>
      </c>
      <c r="E127" s="38">
        <v>41844</v>
      </c>
      <c r="F127" s="38">
        <v>10830</v>
      </c>
      <c r="G127" s="38">
        <v>22754</v>
      </c>
      <c r="H127" s="38">
        <v>31935</v>
      </c>
      <c r="I127" s="38">
        <v>135395.72764472605</v>
      </c>
      <c r="J127" s="73">
        <v>0.27235527395391201</v>
      </c>
      <c r="K127" s="38">
        <v>20017</v>
      </c>
      <c r="L127" s="38">
        <v>81546</v>
      </c>
      <c r="M127" s="38">
        <v>107012</v>
      </c>
      <c r="N127" s="38">
        <v>83896</v>
      </c>
      <c r="O127" s="38">
        <v>77682</v>
      </c>
      <c r="P127" s="38">
        <v>102937</v>
      </c>
      <c r="Q127" s="38">
        <v>65511</v>
      </c>
      <c r="R127" s="38">
        <v>4493</v>
      </c>
      <c r="S127" s="38">
        <v>252388</v>
      </c>
      <c r="T127" s="38">
        <v>25845</v>
      </c>
      <c r="U127" s="38">
        <v>25311</v>
      </c>
      <c r="V127" s="38">
        <v>73874</v>
      </c>
      <c r="W127" s="38">
        <v>864077</v>
      </c>
      <c r="X127" s="38">
        <v>69496</v>
      </c>
      <c r="Y127" s="38">
        <v>93517</v>
      </c>
      <c r="Z127" s="38">
        <v>149972</v>
      </c>
      <c r="AA127" s="38">
        <v>339905</v>
      </c>
      <c r="AB127" s="38">
        <v>184460</v>
      </c>
      <c r="AC127" s="38">
        <v>421279</v>
      </c>
      <c r="AD127" s="38">
        <v>83397</v>
      </c>
      <c r="AE127" s="38">
        <v>15198</v>
      </c>
      <c r="AF127" s="38">
        <v>76153</v>
      </c>
      <c r="AG127" s="38">
        <v>24040</v>
      </c>
      <c r="AH127" s="38">
        <v>21001</v>
      </c>
      <c r="AI127" s="38">
        <v>93883</v>
      </c>
      <c r="AJ127" s="38">
        <v>676</v>
      </c>
      <c r="AK127" s="26">
        <f t="shared" si="5"/>
        <v>3604699</v>
      </c>
      <c r="AL127" s="38">
        <v>63476835</v>
      </c>
      <c r="AM127" s="38">
        <v>89090202</v>
      </c>
      <c r="AN127" s="38">
        <v>0</v>
      </c>
      <c r="AO127" s="38">
        <v>0</v>
      </c>
      <c r="AP127" s="38">
        <v>0</v>
      </c>
      <c r="AQ127" s="38">
        <v>0</v>
      </c>
      <c r="AR127" s="38">
        <v>319935</v>
      </c>
      <c r="AS127" s="26">
        <f t="shared" si="6"/>
        <v>152886972</v>
      </c>
      <c r="AT127" s="27">
        <f t="shared" si="7"/>
        <v>3924634</v>
      </c>
      <c r="AU127" s="42"/>
      <c r="AV127" s="38"/>
      <c r="AW127" s="38"/>
      <c r="AX127" s="38"/>
      <c r="AY127" s="38"/>
      <c r="AZ127" s="38"/>
      <c r="BA127" s="27"/>
    </row>
    <row r="128" spans="1:53" ht="13.5" customHeight="1">
      <c r="A128" s="72" t="s">
        <v>82</v>
      </c>
      <c r="B128" s="77" t="s">
        <v>138</v>
      </c>
      <c r="C128" s="38">
        <v>84351</v>
      </c>
      <c r="D128" s="38">
        <v>14497</v>
      </c>
      <c r="E128" s="38">
        <v>128422</v>
      </c>
      <c r="F128" s="38">
        <v>54243</v>
      </c>
      <c r="G128" s="38">
        <v>69491</v>
      </c>
      <c r="H128" s="38">
        <v>32427</v>
      </c>
      <c r="I128" s="38">
        <v>217064.56313469395</v>
      </c>
      <c r="J128" s="73">
        <v>0.43686530604696766</v>
      </c>
      <c r="K128" s="38">
        <v>42381</v>
      </c>
      <c r="L128" s="38">
        <v>112512</v>
      </c>
      <c r="M128" s="38">
        <v>173400</v>
      </c>
      <c r="N128" s="38">
        <v>151296</v>
      </c>
      <c r="O128" s="38">
        <v>118630</v>
      </c>
      <c r="P128" s="38">
        <v>214771</v>
      </c>
      <c r="Q128" s="38">
        <v>276179</v>
      </c>
      <c r="R128" s="38">
        <v>30648</v>
      </c>
      <c r="S128" s="38">
        <v>207648</v>
      </c>
      <c r="T128" s="38">
        <v>36827</v>
      </c>
      <c r="U128" s="38">
        <v>141683</v>
      </c>
      <c r="V128" s="38">
        <v>396109</v>
      </c>
      <c r="W128" s="38">
        <v>1295505</v>
      </c>
      <c r="X128" s="38">
        <v>149288</v>
      </c>
      <c r="Y128" s="38">
        <v>490823</v>
      </c>
      <c r="Z128" s="38">
        <v>305107</v>
      </c>
      <c r="AA128" s="38">
        <v>427331</v>
      </c>
      <c r="AB128" s="38">
        <v>224359</v>
      </c>
      <c r="AC128" s="38">
        <v>779138</v>
      </c>
      <c r="AD128" s="38">
        <v>272949</v>
      </c>
      <c r="AE128" s="38">
        <v>74029</v>
      </c>
      <c r="AF128" s="38">
        <v>294134</v>
      </c>
      <c r="AG128" s="38">
        <v>548317</v>
      </c>
      <c r="AH128" s="38">
        <v>203582</v>
      </c>
      <c r="AI128" s="38">
        <v>166511</v>
      </c>
      <c r="AJ128" s="38">
        <v>853</v>
      </c>
      <c r="AK128" s="26">
        <f t="shared" si="5"/>
        <v>7734506</v>
      </c>
      <c r="AL128" s="38">
        <v>74155571</v>
      </c>
      <c r="AM128" s="38">
        <v>136924224</v>
      </c>
      <c r="AN128" s="38">
        <v>0</v>
      </c>
      <c r="AO128" s="38">
        <v>0</v>
      </c>
      <c r="AP128" s="38">
        <v>0</v>
      </c>
      <c r="AQ128" s="38">
        <v>0</v>
      </c>
      <c r="AR128" s="38">
        <v>766926</v>
      </c>
      <c r="AS128" s="26">
        <f t="shared" si="6"/>
        <v>211846721</v>
      </c>
      <c r="AT128" s="27">
        <f t="shared" si="7"/>
        <v>8501432</v>
      </c>
      <c r="AU128" s="42"/>
      <c r="AV128" s="38"/>
      <c r="AW128" s="38"/>
      <c r="AX128" s="38"/>
      <c r="AY128" s="38"/>
      <c r="AZ128" s="38"/>
      <c r="BA128" s="27"/>
    </row>
    <row r="129" spans="1:53" ht="13.5" customHeight="1">
      <c r="A129" s="72" t="s">
        <v>84</v>
      </c>
      <c r="B129" s="77" t="s">
        <v>85</v>
      </c>
      <c r="C129" s="38">
        <v>65624</v>
      </c>
      <c r="D129" s="38">
        <v>36520</v>
      </c>
      <c r="E129" s="38">
        <v>133790</v>
      </c>
      <c r="F129" s="38">
        <v>96597</v>
      </c>
      <c r="G129" s="38">
        <v>97174</v>
      </c>
      <c r="H129" s="38">
        <v>65952</v>
      </c>
      <c r="I129" s="38">
        <v>329183.34044840804</v>
      </c>
      <c r="J129" s="73">
        <v>0.65955159196534607</v>
      </c>
      <c r="K129" s="38">
        <v>64236</v>
      </c>
      <c r="L129" s="38">
        <v>260337</v>
      </c>
      <c r="M129" s="38">
        <v>250041</v>
      </c>
      <c r="N129" s="38">
        <v>128017</v>
      </c>
      <c r="O129" s="38">
        <v>127452</v>
      </c>
      <c r="P129" s="38">
        <v>225010</v>
      </c>
      <c r="Q129" s="38">
        <v>112948</v>
      </c>
      <c r="R129" s="38">
        <v>33023</v>
      </c>
      <c r="S129" s="38">
        <v>270400</v>
      </c>
      <c r="T129" s="38">
        <v>55450</v>
      </c>
      <c r="U129" s="38">
        <v>123625</v>
      </c>
      <c r="V129" s="38">
        <v>262368</v>
      </c>
      <c r="W129" s="38">
        <v>388876</v>
      </c>
      <c r="X129" s="38">
        <v>637782</v>
      </c>
      <c r="Y129" s="38">
        <v>136211</v>
      </c>
      <c r="Z129" s="38">
        <v>2065257</v>
      </c>
      <c r="AA129" s="38">
        <v>623398</v>
      </c>
      <c r="AB129" s="38">
        <v>269687</v>
      </c>
      <c r="AC129" s="38">
        <v>1931388</v>
      </c>
      <c r="AD129" s="38">
        <v>535378</v>
      </c>
      <c r="AE129" s="38">
        <v>166633</v>
      </c>
      <c r="AF129" s="38">
        <v>1103277</v>
      </c>
      <c r="AG129" s="38">
        <v>340119</v>
      </c>
      <c r="AH129" s="38">
        <v>2691433</v>
      </c>
      <c r="AI129" s="38">
        <v>369181</v>
      </c>
      <c r="AJ129" s="38">
        <v>1604</v>
      </c>
      <c r="AK129" s="26">
        <f t="shared" si="5"/>
        <v>13997972</v>
      </c>
      <c r="AL129" s="38">
        <v>46878460</v>
      </c>
      <c r="AM129" s="38">
        <v>4781313</v>
      </c>
      <c r="AN129" s="38">
        <v>1094342</v>
      </c>
      <c r="AO129" s="38">
        <v>0</v>
      </c>
      <c r="AP129" s="38">
        <v>0</v>
      </c>
      <c r="AQ129" s="38">
        <v>1272</v>
      </c>
      <c r="AR129" s="38">
        <v>2880068</v>
      </c>
      <c r="AS129" s="26">
        <f t="shared" si="6"/>
        <v>55635455</v>
      </c>
      <c r="AT129" s="27">
        <f t="shared" si="7"/>
        <v>16878040</v>
      </c>
      <c r="AU129" s="42"/>
      <c r="AV129" s="38"/>
      <c r="AW129" s="38"/>
      <c r="AX129" s="38"/>
      <c r="AY129" s="38"/>
      <c r="AZ129" s="38"/>
      <c r="BA129" s="27"/>
    </row>
    <row r="130" spans="1:53" ht="13.5" customHeight="1">
      <c r="A130" s="72" t="s">
        <v>86</v>
      </c>
      <c r="B130" s="77" t="s">
        <v>87</v>
      </c>
      <c r="C130" s="38">
        <v>99840</v>
      </c>
      <c r="D130" s="38">
        <v>31140</v>
      </c>
      <c r="E130" s="38">
        <v>298331</v>
      </c>
      <c r="F130" s="38">
        <v>102590</v>
      </c>
      <c r="G130" s="38">
        <v>112019</v>
      </c>
      <c r="H130" s="38">
        <v>149736</v>
      </c>
      <c r="I130" s="38">
        <v>383962.30497832235</v>
      </c>
      <c r="J130" s="73">
        <v>0.69502167767134082</v>
      </c>
      <c r="K130" s="38">
        <v>138133</v>
      </c>
      <c r="L130" s="38">
        <v>363796</v>
      </c>
      <c r="M130" s="38">
        <v>358040</v>
      </c>
      <c r="N130" s="38">
        <v>430903</v>
      </c>
      <c r="O130" s="38">
        <v>295152</v>
      </c>
      <c r="P130" s="38">
        <v>412933</v>
      </c>
      <c r="Q130" s="38">
        <v>351127</v>
      </c>
      <c r="R130" s="38">
        <v>37455</v>
      </c>
      <c r="S130" s="38">
        <v>625262</v>
      </c>
      <c r="T130" s="38">
        <v>66845</v>
      </c>
      <c r="U130" s="38">
        <v>363837</v>
      </c>
      <c r="V130" s="38">
        <v>595101</v>
      </c>
      <c r="W130" s="38">
        <v>3558930</v>
      </c>
      <c r="X130" s="38">
        <v>3307975</v>
      </c>
      <c r="Y130" s="38">
        <v>647051</v>
      </c>
      <c r="Z130" s="38">
        <v>731847</v>
      </c>
      <c r="AA130" s="38">
        <v>931008</v>
      </c>
      <c r="AB130" s="38">
        <v>440411</v>
      </c>
      <c r="AC130" s="38">
        <v>2658213</v>
      </c>
      <c r="AD130" s="38">
        <v>1459730</v>
      </c>
      <c r="AE130" s="38">
        <v>355554</v>
      </c>
      <c r="AF130" s="38">
        <v>1314276</v>
      </c>
      <c r="AG130" s="38">
        <v>438915</v>
      </c>
      <c r="AH130" s="38">
        <v>521658</v>
      </c>
      <c r="AI130" s="38">
        <v>630784</v>
      </c>
      <c r="AJ130" s="38">
        <v>843</v>
      </c>
      <c r="AK130" s="26">
        <f t="shared" si="5"/>
        <v>22213398</v>
      </c>
      <c r="AL130" s="38">
        <v>59295383</v>
      </c>
      <c r="AM130" s="38">
        <v>0</v>
      </c>
      <c r="AN130" s="38">
        <v>0</v>
      </c>
      <c r="AO130" s="38">
        <v>0</v>
      </c>
      <c r="AP130" s="38">
        <v>0</v>
      </c>
      <c r="AQ130" s="38">
        <v>0</v>
      </c>
      <c r="AR130" s="38">
        <v>1747533</v>
      </c>
      <c r="AS130" s="26">
        <f t="shared" si="6"/>
        <v>61042916</v>
      </c>
      <c r="AT130" s="27">
        <f t="shared" si="7"/>
        <v>23960931</v>
      </c>
      <c r="AU130" s="42"/>
      <c r="AV130" s="38"/>
      <c r="AW130" s="38"/>
      <c r="AX130" s="38"/>
      <c r="AY130" s="38"/>
      <c r="AZ130" s="38"/>
      <c r="BA130" s="27"/>
    </row>
    <row r="131" spans="1:53" ht="13.5" customHeight="1">
      <c r="A131" s="72" t="s">
        <v>88</v>
      </c>
      <c r="B131" s="77" t="s">
        <v>89</v>
      </c>
      <c r="C131" s="38">
        <v>269414</v>
      </c>
      <c r="D131" s="38">
        <v>15963</v>
      </c>
      <c r="E131" s="38">
        <v>83286</v>
      </c>
      <c r="F131" s="38">
        <v>18483</v>
      </c>
      <c r="G131" s="38">
        <v>75392</v>
      </c>
      <c r="H131" s="38">
        <v>137738</v>
      </c>
      <c r="I131" s="38">
        <v>792650.40470753657</v>
      </c>
      <c r="J131" s="73">
        <v>1.5952924634037782</v>
      </c>
      <c r="K131" s="38">
        <v>23147</v>
      </c>
      <c r="L131" s="38">
        <v>42575</v>
      </c>
      <c r="M131" s="38">
        <v>131618</v>
      </c>
      <c r="N131" s="38">
        <v>63701</v>
      </c>
      <c r="O131" s="38">
        <v>54728</v>
      </c>
      <c r="P131" s="38">
        <v>91336</v>
      </c>
      <c r="Q131" s="38">
        <v>23958</v>
      </c>
      <c r="R131" s="38">
        <v>18948</v>
      </c>
      <c r="S131" s="38">
        <v>433554</v>
      </c>
      <c r="T131" s="38">
        <v>142445</v>
      </c>
      <c r="U131" s="38">
        <v>40948</v>
      </c>
      <c r="V131" s="38">
        <v>32265</v>
      </c>
      <c r="W131" s="38">
        <v>492128</v>
      </c>
      <c r="X131" s="38">
        <v>55217</v>
      </c>
      <c r="Y131" s="38">
        <v>250478</v>
      </c>
      <c r="Z131" s="38">
        <v>428335</v>
      </c>
      <c r="AA131" s="38">
        <v>58639</v>
      </c>
      <c r="AB131" s="38">
        <v>537173</v>
      </c>
      <c r="AC131" s="38">
        <v>239556</v>
      </c>
      <c r="AD131" s="38">
        <v>179839</v>
      </c>
      <c r="AE131" s="38">
        <v>45902</v>
      </c>
      <c r="AF131" s="38">
        <v>36693</v>
      </c>
      <c r="AG131" s="38">
        <v>373801</v>
      </c>
      <c r="AH131" s="38">
        <v>101652</v>
      </c>
      <c r="AI131" s="38">
        <v>54194</v>
      </c>
      <c r="AJ131" s="38">
        <v>109679</v>
      </c>
      <c r="AK131" s="26">
        <f t="shared" si="5"/>
        <v>5455437</v>
      </c>
      <c r="AL131" s="38">
        <v>-435478</v>
      </c>
      <c r="AM131" s="38">
        <v>0</v>
      </c>
      <c r="AN131" s="38">
        <v>0</v>
      </c>
      <c r="AO131" s="38">
        <v>0</v>
      </c>
      <c r="AP131" s="38">
        <v>0</v>
      </c>
      <c r="AQ131" s="38">
        <v>0</v>
      </c>
      <c r="AR131" s="38">
        <v>0</v>
      </c>
      <c r="AS131" s="26">
        <f t="shared" si="6"/>
        <v>-435478</v>
      </c>
      <c r="AT131" s="27">
        <f t="shared" si="7"/>
        <v>5455437</v>
      </c>
      <c r="AU131" s="42"/>
      <c r="AV131" s="38"/>
      <c r="AW131" s="38"/>
      <c r="AX131" s="38"/>
      <c r="AY131" s="38"/>
      <c r="AZ131" s="38"/>
      <c r="BA131" s="27"/>
    </row>
    <row r="132" spans="1:53" ht="13.5" customHeight="1">
      <c r="A132" s="91" t="s">
        <v>91</v>
      </c>
      <c r="B132" s="92" t="s">
        <v>20</v>
      </c>
      <c r="C132" s="40">
        <f>SUM(C98:C131)</f>
        <v>39166539.044759125</v>
      </c>
      <c r="D132" s="40">
        <f t="shared" ref="D132:AT132" si="8">SUM(D98:D131)</f>
        <v>3169491.4539363468</v>
      </c>
      <c r="E132" s="40">
        <f t="shared" si="8"/>
        <v>139457042.77109692</v>
      </c>
      <c r="F132" s="40">
        <f t="shared" si="8"/>
        <v>57298927.11651209</v>
      </c>
      <c r="G132" s="40">
        <f t="shared" si="8"/>
        <v>39700945.872379571</v>
      </c>
      <c r="H132" s="40">
        <f t="shared" si="8"/>
        <v>143573399.32306606</v>
      </c>
      <c r="I132" s="40">
        <f t="shared" si="8"/>
        <v>285565428.77452517</v>
      </c>
      <c r="J132" s="40">
        <f t="shared" si="8"/>
        <v>650.00034566547231</v>
      </c>
      <c r="K132" s="40">
        <f t="shared" si="8"/>
        <v>37404680.264892012</v>
      </c>
      <c r="L132" s="40">
        <f t="shared" si="8"/>
        <v>154477525.4228439</v>
      </c>
      <c r="M132" s="40">
        <f t="shared" si="8"/>
        <v>92011186.648384392</v>
      </c>
      <c r="N132" s="40">
        <f t="shared" si="8"/>
        <v>221737255.78939483</v>
      </c>
      <c r="O132" s="40">
        <f t="shared" si="8"/>
        <v>135088731.02720511</v>
      </c>
      <c r="P132" s="40">
        <f t="shared" si="8"/>
        <v>138660272.53064725</v>
      </c>
      <c r="Q132" s="40">
        <f t="shared" si="8"/>
        <v>269883496.11241305</v>
      </c>
      <c r="R132" s="40">
        <f t="shared" si="8"/>
        <v>21105803.206090935</v>
      </c>
      <c r="S132" s="40">
        <f t="shared" si="8"/>
        <v>51124256.104841202</v>
      </c>
      <c r="T132" s="40">
        <f t="shared" si="8"/>
        <v>120649258.00342809</v>
      </c>
      <c r="U132" s="40">
        <f t="shared" si="8"/>
        <v>23032198.481100526</v>
      </c>
      <c r="V132" s="40">
        <f t="shared" si="8"/>
        <v>199251541.29938462</v>
      </c>
      <c r="W132" s="40">
        <f t="shared" si="8"/>
        <v>184102021.94793296</v>
      </c>
      <c r="X132" s="40">
        <f t="shared" si="8"/>
        <v>125178246.23052037</v>
      </c>
      <c r="Y132" s="40">
        <f t="shared" si="8"/>
        <v>150662771.05654123</v>
      </c>
      <c r="Z132" s="40">
        <f t="shared" si="8"/>
        <v>104063291.68153384</v>
      </c>
      <c r="AA132" s="40">
        <f t="shared" si="8"/>
        <v>86678547.251710311</v>
      </c>
      <c r="AB132" s="40">
        <f t="shared" si="8"/>
        <v>81055631.574552447</v>
      </c>
      <c r="AC132" s="40">
        <f t="shared" si="8"/>
        <v>170997662.27539366</v>
      </c>
      <c r="AD132" s="40">
        <f t="shared" si="8"/>
        <v>56091969.263637774</v>
      </c>
      <c r="AE132" s="40">
        <f t="shared" si="8"/>
        <v>52243924.342506841</v>
      </c>
      <c r="AF132" s="40">
        <f t="shared" si="8"/>
        <v>51016930.629431121</v>
      </c>
      <c r="AG132" s="40">
        <f t="shared" si="8"/>
        <v>90583579.197532684</v>
      </c>
      <c r="AH132" s="40">
        <f t="shared" si="8"/>
        <v>28521049.569375552</v>
      </c>
      <c r="AI132" s="40">
        <f t="shared" si="8"/>
        <v>44847612.71824266</v>
      </c>
      <c r="AJ132" s="40">
        <f t="shared" si="8"/>
        <v>5019959.066147388</v>
      </c>
      <c r="AK132" s="40">
        <f t="shared" si="8"/>
        <v>3403421826.0523057</v>
      </c>
      <c r="AL132" s="40">
        <f t="shared" si="8"/>
        <v>1203106756.9303644</v>
      </c>
      <c r="AM132" s="40">
        <f t="shared" si="8"/>
        <v>428148599</v>
      </c>
      <c r="AN132" s="40">
        <f t="shared" si="8"/>
        <v>642719412</v>
      </c>
      <c r="AO132" s="40">
        <f t="shared" si="8"/>
        <v>114740934</v>
      </c>
      <c r="AP132" s="40">
        <f t="shared" si="8"/>
        <v>8456634.2141553685</v>
      </c>
      <c r="AQ132" s="40">
        <f t="shared" si="8"/>
        <v>2242835</v>
      </c>
      <c r="AR132" s="40">
        <f t="shared" si="8"/>
        <v>999816028.80317461</v>
      </c>
      <c r="AS132" s="40">
        <f t="shared" si="8"/>
        <v>3399231199.9476943</v>
      </c>
      <c r="AT132" s="40">
        <f t="shared" si="8"/>
        <v>4403237854.8554802</v>
      </c>
      <c r="AU132" s="94"/>
      <c r="AV132" s="40"/>
      <c r="AW132" s="40"/>
      <c r="AX132" s="40"/>
      <c r="AY132" s="40"/>
      <c r="AZ132" s="40"/>
      <c r="BA132" s="93"/>
    </row>
    <row r="133" spans="1:53" ht="13.5" customHeight="1">
      <c r="A133" s="95" t="s">
        <v>92</v>
      </c>
      <c r="B133" s="73" t="s">
        <v>21</v>
      </c>
      <c r="C133" s="38">
        <v>7311007</v>
      </c>
      <c r="D133" s="38">
        <v>763130</v>
      </c>
      <c r="E133" s="38">
        <v>15128140</v>
      </c>
      <c r="F133" s="38">
        <v>6942083</v>
      </c>
      <c r="G133" s="38">
        <v>7714470</v>
      </c>
      <c r="H133" s="38">
        <v>1849380</v>
      </c>
      <c r="I133" s="38">
        <v>33024739</v>
      </c>
      <c r="J133" s="73">
        <v>200</v>
      </c>
      <c r="K133" s="38">
        <v>5591739</v>
      </c>
      <c r="L133" s="38">
        <v>12874780</v>
      </c>
      <c r="M133" s="38">
        <v>22094377</v>
      </c>
      <c r="N133" s="38">
        <v>38330264</v>
      </c>
      <c r="O133" s="38">
        <v>18684449</v>
      </c>
      <c r="P133" s="38">
        <v>28417504</v>
      </c>
      <c r="Q133" s="38">
        <v>24629085</v>
      </c>
      <c r="R133" s="38">
        <v>4430442</v>
      </c>
      <c r="S133" s="38">
        <v>30392667</v>
      </c>
      <c r="T133" s="38">
        <v>7229124</v>
      </c>
      <c r="U133" s="38">
        <v>9301644</v>
      </c>
      <c r="V133" s="38">
        <v>108270135</v>
      </c>
      <c r="W133" s="38">
        <v>105848898</v>
      </c>
      <c r="X133" s="38">
        <v>45972783</v>
      </c>
      <c r="Y133" s="38">
        <v>37217436</v>
      </c>
      <c r="Z133" s="38">
        <v>48448668</v>
      </c>
      <c r="AA133" s="38">
        <v>52077047</v>
      </c>
      <c r="AB133" s="38">
        <v>23572589</v>
      </c>
      <c r="AC133" s="38">
        <v>119508944</v>
      </c>
      <c r="AD133" s="38">
        <v>53019085</v>
      </c>
      <c r="AE133" s="38">
        <v>89879718</v>
      </c>
      <c r="AF133" s="38">
        <v>84723533</v>
      </c>
      <c r="AG133" s="38">
        <v>91542475</v>
      </c>
      <c r="AH133" s="38">
        <v>14325783</v>
      </c>
      <c r="AI133" s="38">
        <v>21260262</v>
      </c>
      <c r="AJ133" s="38">
        <v>0</v>
      </c>
      <c r="AK133" s="26">
        <f t="shared" si="5"/>
        <v>1170376580</v>
      </c>
      <c r="AL133" s="29"/>
      <c r="AM133" s="29"/>
      <c r="AN133" s="29"/>
      <c r="AO133" s="29"/>
      <c r="AP133" s="29"/>
      <c r="AQ133" s="29"/>
      <c r="AR133" s="29"/>
      <c r="AS133" s="29"/>
      <c r="AT133" s="29"/>
      <c r="AU133" s="30"/>
      <c r="AV133" s="30"/>
      <c r="AW133" s="30"/>
      <c r="AX133" s="30"/>
      <c r="AY133" s="30"/>
      <c r="AZ133" s="30"/>
      <c r="BA133" s="30"/>
    </row>
    <row r="134" spans="1:53" ht="13.5" customHeight="1">
      <c r="A134" s="95" t="s">
        <v>93</v>
      </c>
      <c r="B134" s="73" t="s">
        <v>22</v>
      </c>
      <c r="C134" s="38">
        <v>20790625</v>
      </c>
      <c r="D134" s="38">
        <v>907945</v>
      </c>
      <c r="E134" s="38">
        <v>6246706</v>
      </c>
      <c r="F134" s="38">
        <v>1230526</v>
      </c>
      <c r="G134" s="38">
        <v>5894202</v>
      </c>
      <c r="H134" s="38">
        <v>10160438</v>
      </c>
      <c r="I134" s="38">
        <v>26725352</v>
      </c>
      <c r="J134" s="73">
        <v>100</v>
      </c>
      <c r="K134" s="38">
        <v>2061144</v>
      </c>
      <c r="L134" s="38">
        <v>12662963</v>
      </c>
      <c r="M134" s="38">
        <v>15468441</v>
      </c>
      <c r="N134" s="38">
        <v>-2691522</v>
      </c>
      <c r="O134" s="38">
        <v>509104</v>
      </c>
      <c r="P134" s="38">
        <v>5170759</v>
      </c>
      <c r="Q134" s="38">
        <v>8332412</v>
      </c>
      <c r="R134" s="38">
        <v>1502834</v>
      </c>
      <c r="S134" s="38">
        <v>4585557</v>
      </c>
      <c r="T134" s="38">
        <v>-117531</v>
      </c>
      <c r="U134" s="38">
        <v>4067693</v>
      </c>
      <c r="V134" s="38">
        <v>6664903</v>
      </c>
      <c r="W134" s="38">
        <v>71028220</v>
      </c>
      <c r="X134" s="38">
        <v>16697450</v>
      </c>
      <c r="Y134" s="38">
        <v>17852378</v>
      </c>
      <c r="Z134" s="38">
        <v>24101295</v>
      </c>
      <c r="AA134" s="38">
        <v>68918948</v>
      </c>
      <c r="AB134" s="38">
        <v>64506524</v>
      </c>
      <c r="AC134" s="38">
        <v>32838525</v>
      </c>
      <c r="AD134" s="38">
        <v>24595921</v>
      </c>
      <c r="AE134" s="38">
        <v>0</v>
      </c>
      <c r="AF134" s="38">
        <v>5753379</v>
      </c>
      <c r="AG134" s="38">
        <v>22888082</v>
      </c>
      <c r="AH134" s="38">
        <v>8967271</v>
      </c>
      <c r="AI134" s="38">
        <v>7606932</v>
      </c>
      <c r="AJ134" s="38">
        <v>0</v>
      </c>
      <c r="AK134" s="26">
        <f t="shared" si="5"/>
        <v>495927576</v>
      </c>
      <c r="AL134" s="30"/>
      <c r="AM134" s="30"/>
      <c r="AN134" s="30"/>
      <c r="AO134" s="30"/>
      <c r="AP134" s="30">
        <f>AS132-AK137</f>
        <v>1015957618.9476943</v>
      </c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</row>
    <row r="135" spans="1:53" ht="13.5" customHeight="1">
      <c r="A135" s="95" t="s">
        <v>94</v>
      </c>
      <c r="B135" s="73" t="s">
        <v>23</v>
      </c>
      <c r="C135" s="38">
        <v>6826925</v>
      </c>
      <c r="D135" s="38">
        <v>492826</v>
      </c>
      <c r="E135" s="38">
        <v>7184340</v>
      </c>
      <c r="F135" s="38">
        <v>2607552</v>
      </c>
      <c r="G135" s="38">
        <v>1594645</v>
      </c>
      <c r="H135" s="38">
        <v>3179003</v>
      </c>
      <c r="I135" s="38">
        <v>26775668</v>
      </c>
      <c r="J135" s="73">
        <v>50</v>
      </c>
      <c r="K135" s="38">
        <v>4858806</v>
      </c>
      <c r="L135" s="38">
        <v>10685788</v>
      </c>
      <c r="M135" s="38">
        <v>5299685</v>
      </c>
      <c r="N135" s="38">
        <v>59980214</v>
      </c>
      <c r="O135" s="38">
        <v>16524948</v>
      </c>
      <c r="P135" s="38">
        <v>11389415</v>
      </c>
      <c r="Q135" s="38">
        <v>27105345</v>
      </c>
      <c r="R135" s="38">
        <v>906543</v>
      </c>
      <c r="S135" s="38">
        <v>10150938</v>
      </c>
      <c r="T135" s="38">
        <v>20286757</v>
      </c>
      <c r="U135" s="38">
        <v>5288608</v>
      </c>
      <c r="V135" s="38">
        <v>6766250</v>
      </c>
      <c r="W135" s="38">
        <v>18105570</v>
      </c>
      <c r="X135" s="38">
        <v>36332814</v>
      </c>
      <c r="Y135" s="38">
        <v>5371797</v>
      </c>
      <c r="Z135" s="38">
        <v>35261097</v>
      </c>
      <c r="AA135" s="38">
        <v>12984833</v>
      </c>
      <c r="AB135" s="38">
        <v>69279349</v>
      </c>
      <c r="AC135" s="38">
        <v>28647148</v>
      </c>
      <c r="AD135" s="38">
        <v>7189528</v>
      </c>
      <c r="AE135" s="38">
        <v>60428502</v>
      </c>
      <c r="AF135" s="38">
        <v>12635621</v>
      </c>
      <c r="AG135" s="38">
        <v>13918268</v>
      </c>
      <c r="AH135" s="38">
        <v>6439170</v>
      </c>
      <c r="AI135" s="38">
        <v>4683288</v>
      </c>
      <c r="AJ135" s="38">
        <v>0</v>
      </c>
      <c r="AK135" s="26">
        <f t="shared" si="5"/>
        <v>539181291</v>
      </c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</row>
    <row r="136" spans="1:53" ht="13.5" customHeight="1">
      <c r="A136" s="95" t="s">
        <v>95</v>
      </c>
      <c r="B136" s="73" t="s">
        <v>39</v>
      </c>
      <c r="C136" s="38">
        <v>-27016</v>
      </c>
      <c r="D136" s="38">
        <v>-6795</v>
      </c>
      <c r="E136" s="38">
        <v>14378726</v>
      </c>
      <c r="F136" s="38">
        <v>2081072</v>
      </c>
      <c r="G136" s="38">
        <v>1110431</v>
      </c>
      <c r="H136" s="38">
        <v>17800753</v>
      </c>
      <c r="I136" s="38">
        <v>4534298</v>
      </c>
      <c r="J136" s="73">
        <v>0</v>
      </c>
      <c r="K136" s="38">
        <v>911160</v>
      </c>
      <c r="L136" s="38">
        <v>1198062</v>
      </c>
      <c r="M136" s="38">
        <v>1425139</v>
      </c>
      <c r="N136" s="38">
        <v>2455564</v>
      </c>
      <c r="O136" s="38">
        <v>1946311</v>
      </c>
      <c r="P136" s="38">
        <v>1845434</v>
      </c>
      <c r="Q136" s="38">
        <v>7185378</v>
      </c>
      <c r="R136" s="38">
        <v>997653</v>
      </c>
      <c r="S136" s="38">
        <v>548886</v>
      </c>
      <c r="T136" s="38">
        <v>3631197</v>
      </c>
      <c r="U136" s="38">
        <v>108881</v>
      </c>
      <c r="V136" s="38">
        <v>21285495</v>
      </c>
      <c r="W136" s="38">
        <v>17403973</v>
      </c>
      <c r="X136" s="38">
        <v>-2966019</v>
      </c>
      <c r="Y136" s="38">
        <v>12631432</v>
      </c>
      <c r="Z136" s="38">
        <v>6428467</v>
      </c>
      <c r="AA136" s="38">
        <v>10283809</v>
      </c>
      <c r="AB136" s="38">
        <v>33396994</v>
      </c>
      <c r="AC136" s="38">
        <v>3703102</v>
      </c>
      <c r="AD136" s="38">
        <v>3414461</v>
      </c>
      <c r="AE136" s="38">
        <v>3508</v>
      </c>
      <c r="AF136" s="38">
        <v>209536</v>
      </c>
      <c r="AG136" s="38">
        <v>218867</v>
      </c>
      <c r="AH136" s="38">
        <v>6447347</v>
      </c>
      <c r="AI136" s="38">
        <v>3202028</v>
      </c>
      <c r="AJ136" s="38">
        <v>0</v>
      </c>
      <c r="AK136" s="26">
        <f t="shared" si="5"/>
        <v>177788134</v>
      </c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</row>
    <row r="137" spans="1:53" ht="13.5" customHeight="1">
      <c r="A137" s="96" t="s">
        <v>96</v>
      </c>
      <c r="B137" s="97" t="s">
        <v>24</v>
      </c>
      <c r="C137" s="28">
        <f>SUM(C133:C136)</f>
        <v>34901541</v>
      </c>
      <c r="D137" s="28">
        <f t="shared" ref="D137:AK137" si="9">SUM(D133:D136)</f>
        <v>2157106</v>
      </c>
      <c r="E137" s="28">
        <f t="shared" si="9"/>
        <v>42937912</v>
      </c>
      <c r="F137" s="28">
        <f t="shared" si="9"/>
        <v>12861233</v>
      </c>
      <c r="G137" s="28">
        <f t="shared" si="9"/>
        <v>16313748</v>
      </c>
      <c r="H137" s="28">
        <f t="shared" si="9"/>
        <v>32989574</v>
      </c>
      <c r="I137" s="28">
        <f t="shared" si="9"/>
        <v>91060057</v>
      </c>
      <c r="J137" s="28">
        <f t="shared" si="9"/>
        <v>350</v>
      </c>
      <c r="K137" s="28">
        <f t="shared" si="9"/>
        <v>13422849</v>
      </c>
      <c r="L137" s="28">
        <f t="shared" si="9"/>
        <v>37421593</v>
      </c>
      <c r="M137" s="28">
        <f t="shared" si="9"/>
        <v>44287642</v>
      </c>
      <c r="N137" s="28">
        <f t="shared" si="9"/>
        <v>98074520</v>
      </c>
      <c r="O137" s="28">
        <f t="shared" si="9"/>
        <v>37664812</v>
      </c>
      <c r="P137" s="28">
        <f t="shared" si="9"/>
        <v>46823112</v>
      </c>
      <c r="Q137" s="28">
        <f t="shared" si="9"/>
        <v>67252220</v>
      </c>
      <c r="R137" s="28">
        <f t="shared" si="9"/>
        <v>7837472</v>
      </c>
      <c r="S137" s="28">
        <f t="shared" si="9"/>
        <v>45678048</v>
      </c>
      <c r="T137" s="28">
        <f t="shared" si="9"/>
        <v>31029547</v>
      </c>
      <c r="U137" s="28">
        <f t="shared" si="9"/>
        <v>18766826</v>
      </c>
      <c r="V137" s="28">
        <f t="shared" si="9"/>
        <v>142986783</v>
      </c>
      <c r="W137" s="28">
        <f t="shared" si="9"/>
        <v>212386661</v>
      </c>
      <c r="X137" s="28">
        <f t="shared" si="9"/>
        <v>96037028</v>
      </c>
      <c r="Y137" s="28">
        <f t="shared" si="9"/>
        <v>73073043</v>
      </c>
      <c r="Z137" s="28">
        <f t="shared" si="9"/>
        <v>114239527</v>
      </c>
      <c r="AA137" s="28">
        <f t="shared" si="9"/>
        <v>144264637</v>
      </c>
      <c r="AB137" s="28">
        <f t="shared" si="9"/>
        <v>190755456</v>
      </c>
      <c r="AC137" s="28">
        <f t="shared" si="9"/>
        <v>184697719</v>
      </c>
      <c r="AD137" s="28">
        <f t="shared" si="9"/>
        <v>88218995</v>
      </c>
      <c r="AE137" s="28">
        <f t="shared" si="9"/>
        <v>150311728</v>
      </c>
      <c r="AF137" s="28">
        <f t="shared" si="9"/>
        <v>103322069</v>
      </c>
      <c r="AG137" s="28">
        <f t="shared" si="9"/>
        <v>128567692</v>
      </c>
      <c r="AH137" s="28">
        <f t="shared" si="9"/>
        <v>36179571</v>
      </c>
      <c r="AI137" s="28">
        <f t="shared" si="9"/>
        <v>36752510</v>
      </c>
      <c r="AJ137" s="28">
        <f t="shared" si="9"/>
        <v>0</v>
      </c>
      <c r="AK137" s="28">
        <f t="shared" si="9"/>
        <v>2383273581</v>
      </c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</row>
    <row r="138" spans="1:53" ht="13.5" customHeight="1">
      <c r="A138" s="96" t="s">
        <v>97</v>
      </c>
      <c r="B138" s="97" t="s">
        <v>41</v>
      </c>
      <c r="C138" s="28">
        <f>C137+C132</f>
        <v>74068080.044759125</v>
      </c>
      <c r="D138" s="28">
        <f t="shared" ref="D138:AK138" si="10">D137+D132</f>
        <v>5326597.4539363468</v>
      </c>
      <c r="E138" s="28">
        <f t="shared" si="10"/>
        <v>182394954.77109692</v>
      </c>
      <c r="F138" s="28">
        <f t="shared" si="10"/>
        <v>70160160.11651209</v>
      </c>
      <c r="G138" s="28">
        <f t="shared" si="10"/>
        <v>56014693.872379571</v>
      </c>
      <c r="H138" s="28">
        <f t="shared" si="10"/>
        <v>176562973.32306606</v>
      </c>
      <c r="I138" s="28">
        <f t="shared" si="10"/>
        <v>376625485.77452517</v>
      </c>
      <c r="J138" s="28">
        <f t="shared" si="10"/>
        <v>1000.0003456654723</v>
      </c>
      <c r="K138" s="28">
        <f t="shared" si="10"/>
        <v>50827529.264892012</v>
      </c>
      <c r="L138" s="28">
        <f t="shared" si="10"/>
        <v>191899118.4228439</v>
      </c>
      <c r="M138" s="28">
        <f t="shared" si="10"/>
        <v>136298828.64838439</v>
      </c>
      <c r="N138" s="28">
        <f t="shared" si="10"/>
        <v>319811775.78939486</v>
      </c>
      <c r="O138" s="28">
        <f t="shared" si="10"/>
        <v>172753543.02720511</v>
      </c>
      <c r="P138" s="28">
        <f t="shared" si="10"/>
        <v>185483384.53064725</v>
      </c>
      <c r="Q138" s="28">
        <f t="shared" si="10"/>
        <v>337135716.11241305</v>
      </c>
      <c r="R138" s="28">
        <f t="shared" si="10"/>
        <v>28943275.206090935</v>
      </c>
      <c r="S138" s="28">
        <f t="shared" si="10"/>
        <v>96802304.104841202</v>
      </c>
      <c r="T138" s="28">
        <f t="shared" si="10"/>
        <v>151678805.0034281</v>
      </c>
      <c r="U138" s="28">
        <f t="shared" si="10"/>
        <v>41799024.481100529</v>
      </c>
      <c r="V138" s="28">
        <f t="shared" si="10"/>
        <v>342238324.29938459</v>
      </c>
      <c r="W138" s="28">
        <f t="shared" si="10"/>
        <v>396488682.94793296</v>
      </c>
      <c r="X138" s="28">
        <f t="shared" si="10"/>
        <v>221215274.23052037</v>
      </c>
      <c r="Y138" s="28">
        <f t="shared" si="10"/>
        <v>223735814.05654123</v>
      </c>
      <c r="Z138" s="28">
        <f t="shared" si="10"/>
        <v>218302818.68153384</v>
      </c>
      <c r="AA138" s="28">
        <f t="shared" si="10"/>
        <v>230943184.2517103</v>
      </c>
      <c r="AB138" s="28">
        <f t="shared" si="10"/>
        <v>271811087.57455242</v>
      </c>
      <c r="AC138" s="28">
        <f t="shared" si="10"/>
        <v>355695381.27539366</v>
      </c>
      <c r="AD138" s="28">
        <f t="shared" si="10"/>
        <v>144310964.26363778</v>
      </c>
      <c r="AE138" s="28">
        <f t="shared" si="10"/>
        <v>202555652.34250683</v>
      </c>
      <c r="AF138" s="28">
        <f t="shared" si="10"/>
        <v>154338999.62943113</v>
      </c>
      <c r="AG138" s="28">
        <f t="shared" si="10"/>
        <v>219151271.19753268</v>
      </c>
      <c r="AH138" s="28">
        <f t="shared" si="10"/>
        <v>64700620.569375552</v>
      </c>
      <c r="AI138" s="28">
        <f t="shared" si="10"/>
        <v>81600122.71824266</v>
      </c>
      <c r="AJ138" s="28">
        <f t="shared" si="10"/>
        <v>5019959.066147388</v>
      </c>
      <c r="AK138" s="28">
        <f t="shared" si="10"/>
        <v>5786695407.0523052</v>
      </c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</row>
    <row r="144" spans="1:53" ht="13.5" customHeight="1">
      <c r="A144" s="178" t="s">
        <v>25</v>
      </c>
      <c r="B144" s="179"/>
      <c r="C144" s="79" t="s">
        <v>44</v>
      </c>
      <c r="D144" s="79" t="s">
        <v>45</v>
      </c>
      <c r="E144" s="79" t="s">
        <v>46</v>
      </c>
      <c r="F144" s="80" t="s">
        <v>47</v>
      </c>
      <c r="G144" s="81" t="s">
        <v>48</v>
      </c>
      <c r="H144" s="81" t="s">
        <v>49</v>
      </c>
      <c r="I144" s="81" t="s">
        <v>50</v>
      </c>
      <c r="K144" s="81" t="s">
        <v>51</v>
      </c>
      <c r="L144" s="81" t="s">
        <v>52</v>
      </c>
      <c r="M144" s="81" t="s">
        <v>53</v>
      </c>
      <c r="N144" s="81" t="s">
        <v>55</v>
      </c>
      <c r="O144" s="81" t="s">
        <v>57</v>
      </c>
      <c r="P144" s="81" t="s">
        <v>59</v>
      </c>
      <c r="Q144" s="81" t="s">
        <v>60</v>
      </c>
      <c r="R144" s="81" t="s">
        <v>61</v>
      </c>
      <c r="S144" s="81" t="s">
        <v>63</v>
      </c>
      <c r="T144" s="81" t="s">
        <v>65</v>
      </c>
      <c r="U144" s="81" t="s">
        <v>66</v>
      </c>
      <c r="V144" s="81" t="s">
        <v>68</v>
      </c>
      <c r="W144" s="81" t="s">
        <v>69</v>
      </c>
      <c r="X144" s="81" t="s">
        <v>71</v>
      </c>
      <c r="Y144" s="81" t="s">
        <v>72</v>
      </c>
      <c r="Z144" s="81" t="s">
        <v>73</v>
      </c>
      <c r="AA144" s="81" t="s">
        <v>74</v>
      </c>
      <c r="AB144" s="81" t="s">
        <v>75</v>
      </c>
      <c r="AC144" s="81" t="s">
        <v>77</v>
      </c>
      <c r="AD144" s="81" t="s">
        <v>78</v>
      </c>
      <c r="AE144" s="81" t="s">
        <v>79</v>
      </c>
      <c r="AF144" s="81" t="s">
        <v>81</v>
      </c>
      <c r="AG144" s="81" t="s">
        <v>82</v>
      </c>
      <c r="AH144" s="81" t="s">
        <v>84</v>
      </c>
      <c r="AI144" s="81" t="s">
        <v>86</v>
      </c>
      <c r="AJ144" s="81" t="s">
        <v>88</v>
      </c>
      <c r="AK144" s="82" t="s">
        <v>98</v>
      </c>
      <c r="AL144" s="81" t="s">
        <v>99</v>
      </c>
      <c r="AM144" s="81" t="s">
        <v>100</v>
      </c>
      <c r="AN144" s="81" t="s">
        <v>101</v>
      </c>
      <c r="AO144" s="81" t="s">
        <v>102</v>
      </c>
      <c r="AP144" s="81" t="s">
        <v>103</v>
      </c>
      <c r="AQ144" s="81" t="s">
        <v>104</v>
      </c>
      <c r="AR144" s="81" t="s">
        <v>105</v>
      </c>
      <c r="AS144" s="82" t="s">
        <v>106</v>
      </c>
      <c r="AT144" s="83" t="s">
        <v>107</v>
      </c>
    </row>
    <row r="145" spans="1:46" ht="13.5" customHeight="1">
      <c r="A145" s="180"/>
      <c r="B145" s="181"/>
      <c r="C145" s="85" t="s">
        <v>2</v>
      </c>
      <c r="D145" s="85" t="s">
        <v>3</v>
      </c>
      <c r="E145" s="85" t="s">
        <v>4</v>
      </c>
      <c r="F145" s="85" t="s">
        <v>5</v>
      </c>
      <c r="G145" s="85" t="s">
        <v>6</v>
      </c>
      <c r="H145" s="85" t="s">
        <v>7</v>
      </c>
      <c r="I145" s="85" t="s">
        <v>8</v>
      </c>
      <c r="J145" s="73" t="s">
        <v>144</v>
      </c>
      <c r="K145" s="85" t="s">
        <v>9</v>
      </c>
      <c r="L145" s="85" t="s">
        <v>10</v>
      </c>
      <c r="M145" s="85" t="s">
        <v>54</v>
      </c>
      <c r="N145" s="85" t="s">
        <v>56</v>
      </c>
      <c r="O145" s="85" t="s">
        <v>58</v>
      </c>
      <c r="P145" s="85" t="s">
        <v>11</v>
      </c>
      <c r="Q145" s="85" t="s">
        <v>12</v>
      </c>
      <c r="R145" s="85" t="s">
        <v>135</v>
      </c>
      <c r="S145" s="85" t="s">
        <v>64</v>
      </c>
      <c r="T145" s="85" t="s">
        <v>13</v>
      </c>
      <c r="U145" s="85" t="s">
        <v>67</v>
      </c>
      <c r="V145" s="85" t="s">
        <v>14</v>
      </c>
      <c r="W145" s="85" t="s">
        <v>70</v>
      </c>
      <c r="X145" s="85" t="s">
        <v>42</v>
      </c>
      <c r="Y145" s="85" t="s">
        <v>15</v>
      </c>
      <c r="Z145" s="85" t="s">
        <v>136</v>
      </c>
      <c r="AA145" s="85" t="s">
        <v>137</v>
      </c>
      <c r="AB145" s="85" t="s">
        <v>76</v>
      </c>
      <c r="AC145" s="85" t="s">
        <v>43</v>
      </c>
      <c r="AD145" s="85" t="s">
        <v>18</v>
      </c>
      <c r="AE145" s="85" t="s">
        <v>80</v>
      </c>
      <c r="AF145" s="85" t="s">
        <v>19</v>
      </c>
      <c r="AG145" s="85" t="s">
        <v>138</v>
      </c>
      <c r="AH145" s="85" t="s">
        <v>85</v>
      </c>
      <c r="AI145" s="85" t="s">
        <v>87</v>
      </c>
      <c r="AJ145" s="85" t="s">
        <v>89</v>
      </c>
      <c r="AK145" s="86" t="s">
        <v>26</v>
      </c>
      <c r="AL145" s="87" t="s">
        <v>38</v>
      </c>
      <c r="AM145" s="85" t="s">
        <v>27</v>
      </c>
      <c r="AN145" s="85" t="s">
        <v>28</v>
      </c>
      <c r="AO145" s="85" t="s">
        <v>29</v>
      </c>
      <c r="AP145" s="85" t="s">
        <v>30</v>
      </c>
      <c r="AQ145" s="85" t="s">
        <v>31</v>
      </c>
      <c r="AR145" s="85" t="s">
        <v>32</v>
      </c>
      <c r="AS145" s="86" t="s">
        <v>33</v>
      </c>
      <c r="AT145" s="88" t="s">
        <v>34</v>
      </c>
    </row>
    <row r="146" spans="1:46" ht="13.5" customHeight="1">
      <c r="A146" s="72" t="s">
        <v>44</v>
      </c>
      <c r="B146" s="77" t="s">
        <v>2</v>
      </c>
      <c r="C146" s="38">
        <v>4256311</v>
      </c>
      <c r="D146" s="38">
        <v>3473</v>
      </c>
      <c r="E146" s="38">
        <v>44787107</v>
      </c>
      <c r="F146" s="38">
        <v>264444</v>
      </c>
      <c r="G146" s="38">
        <v>661849</v>
      </c>
      <c r="H146" s="38">
        <v>4203</v>
      </c>
      <c r="I146" s="109">
        <v>1326557.8816719113</v>
      </c>
      <c r="J146" s="100">
        <v>1.1183280886092932</v>
      </c>
      <c r="K146" s="38">
        <v>3614</v>
      </c>
      <c r="L146" s="38">
        <v>6461</v>
      </c>
      <c r="M146" s="38">
        <v>7383</v>
      </c>
      <c r="N146" s="38">
        <v>7338</v>
      </c>
      <c r="O146" s="38">
        <v>2082</v>
      </c>
      <c r="P146" s="38">
        <v>6967</v>
      </c>
      <c r="Q146" s="38">
        <v>2432</v>
      </c>
      <c r="R146" s="38">
        <v>14838</v>
      </c>
      <c r="S146" s="38">
        <v>542287</v>
      </c>
      <c r="T146" s="38">
        <v>3751</v>
      </c>
      <c r="U146" s="38">
        <v>12739</v>
      </c>
      <c r="V146" s="38">
        <v>403188</v>
      </c>
      <c r="W146" s="38">
        <v>103863</v>
      </c>
      <c r="X146" s="38">
        <v>13100</v>
      </c>
      <c r="Y146" s="38">
        <v>13418941</v>
      </c>
      <c r="Z146" s="38">
        <v>14422</v>
      </c>
      <c r="AA146" s="38">
        <v>11833</v>
      </c>
      <c r="AB146" s="38">
        <v>7087</v>
      </c>
      <c r="AC146" s="38">
        <v>72958</v>
      </c>
      <c r="AD146" s="38">
        <v>20574</v>
      </c>
      <c r="AE146" s="38">
        <v>333297</v>
      </c>
      <c r="AF146" s="38">
        <v>716622</v>
      </c>
      <c r="AG146" s="38">
        <v>904970</v>
      </c>
      <c r="AH146" s="38">
        <v>72052</v>
      </c>
      <c r="AI146" s="38">
        <v>72609</v>
      </c>
      <c r="AJ146" s="38">
        <v>3405</v>
      </c>
      <c r="AK146" s="26">
        <f>SUM(C146:AJ146)</f>
        <v>68082759</v>
      </c>
      <c r="AL146" s="38">
        <v>20977330</v>
      </c>
      <c r="AM146" s="38">
        <v>0</v>
      </c>
      <c r="AN146" s="38">
        <v>1005548</v>
      </c>
      <c r="AO146" s="38">
        <v>708</v>
      </c>
      <c r="AP146" s="38">
        <v>-196797</v>
      </c>
      <c r="AQ146" s="38">
        <v>0</v>
      </c>
      <c r="AR146" s="38">
        <v>1148216</v>
      </c>
      <c r="AS146" s="26">
        <f>SUM(AL146:AR146)</f>
        <v>22935005</v>
      </c>
      <c r="AT146" s="27">
        <f>AK146+AS146</f>
        <v>91017764</v>
      </c>
    </row>
    <row r="147" spans="1:46" ht="13.5" customHeight="1">
      <c r="A147" s="72" t="s">
        <v>45</v>
      </c>
      <c r="B147" s="77" t="s">
        <v>3</v>
      </c>
      <c r="C147" s="38">
        <v>2055</v>
      </c>
      <c r="D147" s="38">
        <v>2999</v>
      </c>
      <c r="E147" s="38">
        <v>48702</v>
      </c>
      <c r="F147" s="38">
        <v>3592</v>
      </c>
      <c r="G147" s="38">
        <v>35023</v>
      </c>
      <c r="H147" s="38">
        <v>108067377</v>
      </c>
      <c r="I147" s="109">
        <v>8679206.2488911487</v>
      </c>
      <c r="J147" s="100">
        <v>0.75110885132401117</v>
      </c>
      <c r="K147" s="38">
        <v>5208178</v>
      </c>
      <c r="L147" s="38">
        <v>33232955</v>
      </c>
      <c r="M147" s="38">
        <v>40482</v>
      </c>
      <c r="N147" s="38">
        <v>37583</v>
      </c>
      <c r="O147" s="38">
        <v>8789</v>
      </c>
      <c r="P147" s="38">
        <v>16354</v>
      </c>
      <c r="Q147" s="38">
        <v>5802</v>
      </c>
      <c r="R147" s="38">
        <v>3785</v>
      </c>
      <c r="S147" s="38">
        <v>76904</v>
      </c>
      <c r="T147" s="38">
        <v>68593275</v>
      </c>
      <c r="U147" s="38">
        <v>53587</v>
      </c>
      <c r="V147" s="38">
        <v>278992</v>
      </c>
      <c r="W147" s="38">
        <v>0</v>
      </c>
      <c r="X147" s="38">
        <v>0</v>
      </c>
      <c r="Y147" s="38">
        <v>15310</v>
      </c>
      <c r="Z147" s="38">
        <v>0</v>
      </c>
      <c r="AA147" s="38">
        <v>0</v>
      </c>
      <c r="AB147" s="38">
        <v>141</v>
      </c>
      <c r="AC147" s="38">
        <v>17244</v>
      </c>
      <c r="AD147" s="38">
        <v>13414</v>
      </c>
      <c r="AE147" s="38">
        <v>16766</v>
      </c>
      <c r="AF147" s="38">
        <v>1073</v>
      </c>
      <c r="AG147" s="38">
        <v>16722</v>
      </c>
      <c r="AH147" s="38">
        <v>2420</v>
      </c>
      <c r="AI147" s="38">
        <v>2421</v>
      </c>
      <c r="AJ147" s="38">
        <v>34</v>
      </c>
      <c r="AK147" s="26">
        <f t="shared" ref="AK147:AK186" si="11">SUM(C147:AJ147)</f>
        <v>224481186</v>
      </c>
      <c r="AL147" s="38">
        <v>20312</v>
      </c>
      <c r="AM147" s="38">
        <v>0</v>
      </c>
      <c r="AN147" s="38">
        <v>0</v>
      </c>
      <c r="AO147" s="38">
        <v>0</v>
      </c>
      <c r="AP147" s="38">
        <v>-1208060</v>
      </c>
      <c r="AQ147" s="38">
        <v>0</v>
      </c>
      <c r="AR147" s="38">
        <v>164539</v>
      </c>
      <c r="AS147" s="26">
        <f t="shared" ref="AS147:AS179" si="12">SUM(AL147:AR147)</f>
        <v>-1023209</v>
      </c>
      <c r="AT147" s="27">
        <f t="shared" ref="AT147:AT179" si="13">AK147+AS147</f>
        <v>223457977</v>
      </c>
    </row>
    <row r="148" spans="1:46" ht="13.5" customHeight="1">
      <c r="A148" s="72" t="s">
        <v>46</v>
      </c>
      <c r="B148" s="77" t="s">
        <v>4</v>
      </c>
      <c r="C148" s="38">
        <v>13490896</v>
      </c>
      <c r="D148" s="38">
        <v>16188</v>
      </c>
      <c r="E148" s="38">
        <v>37267582</v>
      </c>
      <c r="F148" s="38">
        <v>1267831</v>
      </c>
      <c r="G148" s="38">
        <v>87762</v>
      </c>
      <c r="H148" s="38">
        <v>29747</v>
      </c>
      <c r="I148" s="109">
        <v>1948951.2856227099</v>
      </c>
      <c r="J148" s="100">
        <v>2.7143772901102938</v>
      </c>
      <c r="K148" s="38">
        <v>32354</v>
      </c>
      <c r="L148" s="38">
        <v>78230</v>
      </c>
      <c r="M148" s="38">
        <v>106035</v>
      </c>
      <c r="N148" s="38">
        <v>28458</v>
      </c>
      <c r="O148" s="38">
        <v>23722</v>
      </c>
      <c r="P148" s="38">
        <v>80841</v>
      </c>
      <c r="Q148" s="38">
        <v>-15144</v>
      </c>
      <c r="R148" s="38">
        <v>10976</v>
      </c>
      <c r="S148" s="38">
        <v>642150</v>
      </c>
      <c r="T148" s="38">
        <v>1667262</v>
      </c>
      <c r="U148" s="38">
        <v>75594</v>
      </c>
      <c r="V148" s="38">
        <v>29879</v>
      </c>
      <c r="W148" s="38">
        <v>2137267</v>
      </c>
      <c r="X148" s="38">
        <v>237559</v>
      </c>
      <c r="Y148" s="38">
        <v>62634265</v>
      </c>
      <c r="Z148" s="38">
        <v>321736</v>
      </c>
      <c r="AA148" s="38">
        <v>166231</v>
      </c>
      <c r="AB148" s="38">
        <v>20690</v>
      </c>
      <c r="AC148" s="38">
        <v>1680284</v>
      </c>
      <c r="AD148" s="38">
        <v>730059</v>
      </c>
      <c r="AE148" s="38">
        <v>1178818</v>
      </c>
      <c r="AF148" s="38">
        <v>3190985</v>
      </c>
      <c r="AG148" s="38">
        <v>3326884</v>
      </c>
      <c r="AH148" s="38">
        <v>2766615</v>
      </c>
      <c r="AI148" s="38">
        <v>1099495</v>
      </c>
      <c r="AJ148" s="38">
        <v>54767</v>
      </c>
      <c r="AK148" s="26">
        <f t="shared" si="11"/>
        <v>136414972</v>
      </c>
      <c r="AL148" s="38">
        <v>79996863</v>
      </c>
      <c r="AM148" s="38">
        <v>0</v>
      </c>
      <c r="AN148" s="38">
        <v>0</v>
      </c>
      <c r="AO148" s="38">
        <v>0</v>
      </c>
      <c r="AP148" s="38">
        <v>-312055</v>
      </c>
      <c r="AQ148" s="38">
        <v>0</v>
      </c>
      <c r="AR148" s="38">
        <v>13216832</v>
      </c>
      <c r="AS148" s="26">
        <f t="shared" si="12"/>
        <v>92901640</v>
      </c>
      <c r="AT148" s="27">
        <f t="shared" si="13"/>
        <v>229316612</v>
      </c>
    </row>
    <row r="149" spans="1:46" ht="13.5" customHeight="1">
      <c r="A149" s="72" t="s">
        <v>47</v>
      </c>
      <c r="B149" s="77" t="s">
        <v>5</v>
      </c>
      <c r="C149" s="38">
        <v>690669</v>
      </c>
      <c r="D149" s="38">
        <v>18761</v>
      </c>
      <c r="E149" s="38">
        <v>152583</v>
      </c>
      <c r="F149" s="38">
        <v>21941986</v>
      </c>
      <c r="G149" s="38">
        <v>610886</v>
      </c>
      <c r="H149" s="38">
        <v>100196</v>
      </c>
      <c r="I149" s="109">
        <v>1674117.8461301655</v>
      </c>
      <c r="J149" s="100">
        <v>2.1538698344229443</v>
      </c>
      <c r="K149" s="38">
        <v>167311</v>
      </c>
      <c r="L149" s="38">
        <v>181532</v>
      </c>
      <c r="M149" s="38">
        <v>398657</v>
      </c>
      <c r="N149" s="38">
        <v>396591</v>
      </c>
      <c r="O149" s="38">
        <v>175855</v>
      </c>
      <c r="P149" s="38">
        <v>148702</v>
      </c>
      <c r="Q149" s="38">
        <v>1234584</v>
      </c>
      <c r="R149" s="38">
        <v>1704538</v>
      </c>
      <c r="S149" s="38">
        <v>2681541</v>
      </c>
      <c r="T149" s="38">
        <v>46471</v>
      </c>
      <c r="U149" s="38">
        <v>260471</v>
      </c>
      <c r="V149" s="38">
        <v>183767</v>
      </c>
      <c r="W149" s="38">
        <v>1793848</v>
      </c>
      <c r="X149" s="38">
        <v>1945331</v>
      </c>
      <c r="Y149" s="38">
        <v>1580633</v>
      </c>
      <c r="Z149" s="38">
        <v>250655</v>
      </c>
      <c r="AA149" s="38">
        <v>107312</v>
      </c>
      <c r="AB149" s="38">
        <v>175614</v>
      </c>
      <c r="AC149" s="38">
        <v>554339</v>
      </c>
      <c r="AD149" s="38">
        <v>1178436</v>
      </c>
      <c r="AE149" s="38">
        <v>689348</v>
      </c>
      <c r="AF149" s="38">
        <v>212655</v>
      </c>
      <c r="AG149" s="38">
        <v>919104</v>
      </c>
      <c r="AH149" s="38">
        <v>556457</v>
      </c>
      <c r="AI149" s="38">
        <v>863694</v>
      </c>
      <c r="AJ149" s="38">
        <v>17447</v>
      </c>
      <c r="AK149" s="26">
        <f t="shared" si="11"/>
        <v>43614094</v>
      </c>
      <c r="AL149" s="38">
        <v>44692848</v>
      </c>
      <c r="AM149" s="38">
        <v>0</v>
      </c>
      <c r="AN149" s="38">
        <v>99316</v>
      </c>
      <c r="AO149" s="38">
        <v>49995</v>
      </c>
      <c r="AP149" s="38">
        <v>238347</v>
      </c>
      <c r="AQ149" s="38">
        <v>0</v>
      </c>
      <c r="AR149" s="38">
        <v>20177963</v>
      </c>
      <c r="AS149" s="26">
        <f t="shared" si="12"/>
        <v>65258469</v>
      </c>
      <c r="AT149" s="27">
        <f t="shared" si="13"/>
        <v>108872563</v>
      </c>
    </row>
    <row r="150" spans="1:46" ht="13.5" customHeight="1">
      <c r="A150" s="72" t="s">
        <v>48</v>
      </c>
      <c r="B150" s="77" t="s">
        <v>6</v>
      </c>
      <c r="C150" s="38">
        <v>866017</v>
      </c>
      <c r="D150" s="38">
        <v>11121</v>
      </c>
      <c r="E150" s="38">
        <v>3715108</v>
      </c>
      <c r="F150" s="38">
        <v>415547</v>
      </c>
      <c r="G150" s="38">
        <v>17244503</v>
      </c>
      <c r="H150" s="38">
        <v>134210</v>
      </c>
      <c r="I150" s="109">
        <v>1997371.26708342</v>
      </c>
      <c r="J150" s="100">
        <v>3.7329165799523025</v>
      </c>
      <c r="K150" s="38">
        <v>426375</v>
      </c>
      <c r="L150" s="38">
        <v>243459</v>
      </c>
      <c r="M150" s="38">
        <v>1061021</v>
      </c>
      <c r="N150" s="38">
        <v>295987</v>
      </c>
      <c r="O150" s="38">
        <v>571350</v>
      </c>
      <c r="P150" s="38">
        <v>353312</v>
      </c>
      <c r="Q150" s="38">
        <v>120280</v>
      </c>
      <c r="R150" s="38">
        <v>1901882</v>
      </c>
      <c r="S150" s="38">
        <v>408384</v>
      </c>
      <c r="T150" s="38">
        <v>792752</v>
      </c>
      <c r="U150" s="38">
        <v>-6870</v>
      </c>
      <c r="V150" s="38">
        <v>6049727</v>
      </c>
      <c r="W150" s="38">
        <v>4278205</v>
      </c>
      <c r="X150" s="38">
        <v>1476571</v>
      </c>
      <c r="Y150" s="38">
        <v>2137353</v>
      </c>
      <c r="Z150" s="38">
        <v>2006707</v>
      </c>
      <c r="AA150" s="38">
        <v>1592341</v>
      </c>
      <c r="AB150" s="38">
        <v>227894</v>
      </c>
      <c r="AC150" s="38">
        <v>5069685</v>
      </c>
      <c r="AD150" s="38">
        <v>631911</v>
      </c>
      <c r="AE150" s="38">
        <v>913133</v>
      </c>
      <c r="AF150" s="38">
        <v>960333</v>
      </c>
      <c r="AG150" s="38">
        <v>1291250</v>
      </c>
      <c r="AH150" s="38">
        <v>308585</v>
      </c>
      <c r="AI150" s="38">
        <v>831503</v>
      </c>
      <c r="AJ150" s="38">
        <v>9881</v>
      </c>
      <c r="AK150" s="26">
        <f t="shared" si="11"/>
        <v>58336892</v>
      </c>
      <c r="AL150" s="38">
        <v>1990283</v>
      </c>
      <c r="AM150" s="38">
        <v>0</v>
      </c>
      <c r="AN150" s="38">
        <v>0</v>
      </c>
      <c r="AO150" s="38">
        <v>0</v>
      </c>
      <c r="AP150" s="38">
        <v>247498</v>
      </c>
      <c r="AQ150" s="38">
        <v>0</v>
      </c>
      <c r="AR150" s="38">
        <v>4630328</v>
      </c>
      <c r="AS150" s="26">
        <f t="shared" si="12"/>
        <v>6868109</v>
      </c>
      <c r="AT150" s="27">
        <f t="shared" si="13"/>
        <v>65205001</v>
      </c>
    </row>
    <row r="151" spans="1:46" ht="13.5" customHeight="1">
      <c r="A151" s="72" t="s">
        <v>49</v>
      </c>
      <c r="B151" s="77" t="s">
        <v>7</v>
      </c>
      <c r="C151" s="38">
        <v>1553720</v>
      </c>
      <c r="D151" s="38">
        <v>127562</v>
      </c>
      <c r="E151" s="38">
        <v>368746</v>
      </c>
      <c r="F151" s="38">
        <v>182073</v>
      </c>
      <c r="G151" s="38">
        <v>306192</v>
      </c>
      <c r="H151" s="38">
        <v>8485744</v>
      </c>
      <c r="I151" s="109">
        <v>43895209.669638716</v>
      </c>
      <c r="J151" s="100">
        <v>37.330361284708523</v>
      </c>
      <c r="K151" s="38">
        <v>2409467</v>
      </c>
      <c r="L151" s="38">
        <v>721361</v>
      </c>
      <c r="M151" s="38">
        <v>527953</v>
      </c>
      <c r="N151" s="38">
        <v>108255</v>
      </c>
      <c r="O151" s="38">
        <v>512348</v>
      </c>
      <c r="P151" s="38">
        <v>337756</v>
      </c>
      <c r="Q151" s="38">
        <v>472866</v>
      </c>
      <c r="R151" s="38">
        <v>45874</v>
      </c>
      <c r="S151" s="38">
        <v>1013019</v>
      </c>
      <c r="T151" s="38">
        <v>4111860</v>
      </c>
      <c r="U151" s="38">
        <v>690962</v>
      </c>
      <c r="V151" s="38">
        <v>4687554</v>
      </c>
      <c r="W151" s="38">
        <v>9503880</v>
      </c>
      <c r="X151" s="38">
        <v>24628899</v>
      </c>
      <c r="Y151" s="38">
        <v>3477744</v>
      </c>
      <c r="Z151" s="38">
        <v>404311</v>
      </c>
      <c r="AA151" s="38">
        <v>146259</v>
      </c>
      <c r="AB151" s="38">
        <v>918026</v>
      </c>
      <c r="AC151" s="38">
        <v>4380042</v>
      </c>
      <c r="AD151" s="38">
        <v>918546</v>
      </c>
      <c r="AE151" s="38">
        <v>3355174</v>
      </c>
      <c r="AF151" s="38">
        <v>2599025</v>
      </c>
      <c r="AG151" s="38">
        <v>1564184</v>
      </c>
      <c r="AH151" s="38">
        <v>353775</v>
      </c>
      <c r="AI151" s="38">
        <v>1093548</v>
      </c>
      <c r="AJ151" s="38">
        <v>22523</v>
      </c>
      <c r="AK151" s="26">
        <f t="shared" si="11"/>
        <v>123924495</v>
      </c>
      <c r="AL151" s="38">
        <v>20010215</v>
      </c>
      <c r="AM151" s="38">
        <v>0</v>
      </c>
      <c r="AN151" s="38">
        <v>0</v>
      </c>
      <c r="AO151" s="38">
        <v>0</v>
      </c>
      <c r="AP151" s="38">
        <v>685143</v>
      </c>
      <c r="AQ151" s="38">
        <v>0</v>
      </c>
      <c r="AR151" s="38">
        <v>77066088</v>
      </c>
      <c r="AS151" s="26">
        <f t="shared" si="12"/>
        <v>97761446</v>
      </c>
      <c r="AT151" s="27">
        <f t="shared" si="13"/>
        <v>221685941</v>
      </c>
    </row>
    <row r="152" spans="1:46" s="100" customFormat="1" ht="13.5" customHeight="1">
      <c r="A152" s="107" t="s">
        <v>50</v>
      </c>
      <c r="B152" s="108" t="s">
        <v>8</v>
      </c>
      <c r="C152" s="109">
        <f>C104-C105</f>
        <v>5335744.9552408801</v>
      </c>
      <c r="D152" s="109">
        <f t="shared" ref="D152:AR152" si="14">D104-D105</f>
        <v>219297.54606365331</v>
      </c>
      <c r="E152" s="109">
        <f t="shared" si="14"/>
        <v>4720436.2289030813</v>
      </c>
      <c r="F152" s="109">
        <f t="shared" si="14"/>
        <v>6819714.8834879128</v>
      </c>
      <c r="G152" s="109">
        <f t="shared" si="14"/>
        <v>3803162.1276204269</v>
      </c>
      <c r="H152" s="109">
        <f t="shared" si="14"/>
        <v>3537787.6769339545</v>
      </c>
      <c r="I152" s="109">
        <f t="shared" si="14"/>
        <v>129362417.388431</v>
      </c>
      <c r="J152" s="109">
        <f t="shared" si="14"/>
        <v>151.83669816866274</v>
      </c>
      <c r="K152" s="109">
        <f t="shared" si="14"/>
        <v>2543479.7351079867</v>
      </c>
      <c r="L152" s="109">
        <f t="shared" si="14"/>
        <v>3102888.5771561051</v>
      </c>
      <c r="M152" s="109">
        <f t="shared" si="14"/>
        <v>9009071.3516156022</v>
      </c>
      <c r="N152" s="109">
        <f t="shared" si="14"/>
        <v>20188539.210605185</v>
      </c>
      <c r="O152" s="109">
        <f t="shared" si="14"/>
        <v>17404813.972794902</v>
      </c>
      <c r="P152" s="109">
        <f t="shared" si="14"/>
        <v>5570478.4693527538</v>
      </c>
      <c r="Q152" s="109">
        <f t="shared" si="14"/>
        <v>21793895.887586948</v>
      </c>
      <c r="R152" s="109">
        <f t="shared" si="14"/>
        <v>2998174.793909065</v>
      </c>
      <c r="S152" s="109">
        <f t="shared" si="14"/>
        <v>1983056.8951587994</v>
      </c>
      <c r="T152" s="109">
        <f t="shared" si="14"/>
        <v>2417165.996571911</v>
      </c>
      <c r="U152" s="109">
        <f t="shared" si="14"/>
        <v>2164828.5188994738</v>
      </c>
      <c r="V152" s="109">
        <f t="shared" si="14"/>
        <v>12222182.700615382</v>
      </c>
      <c r="W152" s="109">
        <f t="shared" si="14"/>
        <v>5288968.0520670274</v>
      </c>
      <c r="X152" s="109">
        <f t="shared" si="14"/>
        <v>1560670.7694796398</v>
      </c>
      <c r="Y152" s="109">
        <f t="shared" si="14"/>
        <v>4858334.943458763</v>
      </c>
      <c r="Z152" s="109">
        <f t="shared" si="14"/>
        <v>812352.31846616487</v>
      </c>
      <c r="AA152" s="109">
        <f t="shared" si="14"/>
        <v>121601.7482896897</v>
      </c>
      <c r="AB152" s="109">
        <f t="shared" si="14"/>
        <v>277567.42544754682</v>
      </c>
      <c r="AC152" s="109">
        <f t="shared" si="14"/>
        <v>10278184.724606326</v>
      </c>
      <c r="AD152" s="109">
        <f t="shared" si="14"/>
        <v>3992179.7363622286</v>
      </c>
      <c r="AE152" s="109">
        <f t="shared" si="14"/>
        <v>1614771.6574931636</v>
      </c>
      <c r="AF152" s="109">
        <f t="shared" si="14"/>
        <v>1270283.3705688785</v>
      </c>
      <c r="AG152" s="109">
        <f t="shared" si="14"/>
        <v>32946362.802467305</v>
      </c>
      <c r="AH152" s="109">
        <f t="shared" si="14"/>
        <v>758168.4306244473</v>
      </c>
      <c r="AI152" s="109">
        <f t="shared" si="14"/>
        <v>3728698.281757337</v>
      </c>
      <c r="AJ152" s="109">
        <f t="shared" si="14"/>
        <v>31955.933852611994</v>
      </c>
      <c r="AK152" s="26">
        <f t="shared" si="11"/>
        <v>322737388.9476943</v>
      </c>
      <c r="AL152" s="109">
        <f t="shared" si="14"/>
        <v>16391826.069635639</v>
      </c>
      <c r="AM152" s="109">
        <f t="shared" si="14"/>
        <v>0</v>
      </c>
      <c r="AN152" s="109">
        <f t="shared" si="14"/>
        <v>0</v>
      </c>
      <c r="AO152" s="109">
        <f t="shared" si="14"/>
        <v>0</v>
      </c>
      <c r="AP152" s="109">
        <f t="shared" si="14"/>
        <v>2035866.7858446313</v>
      </c>
      <c r="AQ152" s="109">
        <f t="shared" si="14"/>
        <v>0</v>
      </c>
      <c r="AR152" s="109">
        <f t="shared" si="14"/>
        <v>141936894.19682541</v>
      </c>
      <c r="AS152" s="26">
        <f t="shared" si="12"/>
        <v>160364587.0523057</v>
      </c>
      <c r="AT152" s="27">
        <f t="shared" si="13"/>
        <v>483101976</v>
      </c>
    </row>
    <row r="153" spans="1:46" ht="13.5" customHeight="1">
      <c r="A153" s="107"/>
      <c r="B153" s="108"/>
      <c r="C153" s="109">
        <v>11.044759119844462</v>
      </c>
      <c r="D153" s="109">
        <v>0.45393634668895105</v>
      </c>
      <c r="E153" s="109">
        <v>9.771096918268622</v>
      </c>
      <c r="F153" s="109">
        <v>14.11651208706278</v>
      </c>
      <c r="G153" s="109">
        <v>7.8723795731699235</v>
      </c>
      <c r="H153" s="109">
        <v>7.323066045447006</v>
      </c>
      <c r="I153" s="109">
        <v>267.77455654290191</v>
      </c>
      <c r="J153" s="109">
        <v>3.1429540155458453E-4</v>
      </c>
      <c r="K153" s="109">
        <v>5.2648920134162038</v>
      </c>
      <c r="L153" s="109">
        <v>6.4228438948800841</v>
      </c>
      <c r="M153" s="109">
        <v>18.64838439744987</v>
      </c>
      <c r="N153" s="109">
        <v>41.789394814243494</v>
      </c>
      <c r="O153" s="109">
        <v>36.027205098401218</v>
      </c>
      <c r="P153" s="109">
        <v>11.530647246519964</v>
      </c>
      <c r="Q153" s="109">
        <v>45.112413052077741</v>
      </c>
      <c r="R153" s="109">
        <v>6.2060909349479978</v>
      </c>
      <c r="S153" s="109">
        <v>4.1048412005642456</v>
      </c>
      <c r="T153" s="109">
        <v>5.0034280890043616</v>
      </c>
      <c r="U153" s="109">
        <v>4.4811005262778592</v>
      </c>
      <c r="V153" s="109">
        <v>25.299384618156441</v>
      </c>
      <c r="W153" s="109">
        <v>10.947932972369021</v>
      </c>
      <c r="X153" s="109">
        <v>3.230520360114693</v>
      </c>
      <c r="Y153" s="109">
        <v>10.056541237286853</v>
      </c>
      <c r="Z153" s="109">
        <v>1.6815338351382874</v>
      </c>
      <c r="AA153" s="109">
        <v>0.25171031030866597</v>
      </c>
      <c r="AB153" s="109">
        <v>0.57455245318132753</v>
      </c>
      <c r="AC153" s="109">
        <v>21.275393675074358</v>
      </c>
      <c r="AD153" s="109">
        <v>8.2636377715048486</v>
      </c>
      <c r="AE153" s="109">
        <v>3.3425068364720651</v>
      </c>
      <c r="AF153" s="109">
        <v>2.6294311215338073</v>
      </c>
      <c r="AG153" s="109">
        <v>68.197532693319616</v>
      </c>
      <c r="AH153" s="109">
        <v>1.569375552759998</v>
      </c>
      <c r="AI153" s="109">
        <v>7.7182426630300869</v>
      </c>
      <c r="AJ153" s="109">
        <v>6.6147388005326629E-2</v>
      </c>
      <c r="AK153" s="26">
        <f t="shared" si="11"/>
        <v>668.05230568482386</v>
      </c>
      <c r="AL153" s="109">
        <v>33.930364361903663</v>
      </c>
      <c r="AM153" s="109">
        <v>0</v>
      </c>
      <c r="AN153" s="109">
        <v>0</v>
      </c>
      <c r="AO153" s="109">
        <v>0</v>
      </c>
      <c r="AP153" s="109">
        <v>4.2141553688131284</v>
      </c>
      <c r="AQ153" s="109">
        <v>0</v>
      </c>
      <c r="AR153" s="109">
        <v>293.80317458445961</v>
      </c>
      <c r="AS153" s="26">
        <f t="shared" si="12"/>
        <v>331.94769431517642</v>
      </c>
      <c r="AT153" s="27">
        <f t="shared" si="13"/>
        <v>1000.0000000000002</v>
      </c>
    </row>
    <row r="154" spans="1:46" ht="13.5" customHeight="1">
      <c r="A154" s="72" t="s">
        <v>51</v>
      </c>
      <c r="B154" s="77" t="s">
        <v>9</v>
      </c>
      <c r="C154" s="38">
        <v>36617</v>
      </c>
      <c r="D154" s="38">
        <v>8918</v>
      </c>
      <c r="E154" s="38">
        <v>905256</v>
      </c>
      <c r="F154" s="38">
        <v>41584</v>
      </c>
      <c r="G154" s="38">
        <v>59557</v>
      </c>
      <c r="H154" s="38">
        <v>153911</v>
      </c>
      <c r="I154" s="109">
        <v>1621302.9173601517</v>
      </c>
      <c r="J154" s="100">
        <v>2.0826398484205293</v>
      </c>
      <c r="K154" s="38">
        <v>7622593</v>
      </c>
      <c r="L154" s="38">
        <v>3265699</v>
      </c>
      <c r="M154" s="38">
        <v>612991</v>
      </c>
      <c r="N154" s="38">
        <v>1987167</v>
      </c>
      <c r="O154" s="38">
        <v>1806637</v>
      </c>
      <c r="P154" s="38">
        <v>511290</v>
      </c>
      <c r="Q154" s="38">
        <v>2300485</v>
      </c>
      <c r="R154" s="38">
        <v>257029</v>
      </c>
      <c r="S154" s="38">
        <v>203556</v>
      </c>
      <c r="T154" s="38">
        <v>-152005</v>
      </c>
      <c r="U154" s="38">
        <v>187593</v>
      </c>
      <c r="V154" s="38">
        <v>29763706</v>
      </c>
      <c r="W154" s="38">
        <v>119481</v>
      </c>
      <c r="X154" s="38">
        <v>76745</v>
      </c>
      <c r="Y154" s="38">
        <v>742147</v>
      </c>
      <c r="Z154" s="38">
        <v>13661</v>
      </c>
      <c r="AA154" s="38">
        <v>3896</v>
      </c>
      <c r="AB154" s="38">
        <v>84202</v>
      </c>
      <c r="AC154" s="38">
        <v>340999</v>
      </c>
      <c r="AD154" s="38">
        <v>226159</v>
      </c>
      <c r="AE154" s="38">
        <v>331107</v>
      </c>
      <c r="AF154" s="38">
        <v>142765</v>
      </c>
      <c r="AG154" s="38">
        <v>71373</v>
      </c>
      <c r="AH154" s="38">
        <v>141732</v>
      </c>
      <c r="AI154" s="38">
        <v>56146</v>
      </c>
      <c r="AJ154" s="38">
        <v>4568</v>
      </c>
      <c r="AK154" s="26">
        <f t="shared" si="11"/>
        <v>53548870</v>
      </c>
      <c r="AL154" s="38">
        <v>181273</v>
      </c>
      <c r="AM154" s="38">
        <v>0</v>
      </c>
      <c r="AN154" s="38">
        <v>0</v>
      </c>
      <c r="AO154" s="38">
        <v>0</v>
      </c>
      <c r="AP154" s="38">
        <v>187387</v>
      </c>
      <c r="AQ154" s="38">
        <v>0</v>
      </c>
      <c r="AR154" s="38">
        <v>4781328</v>
      </c>
      <c r="AS154" s="26">
        <f t="shared" si="12"/>
        <v>5149988</v>
      </c>
      <c r="AT154" s="27">
        <f t="shared" si="13"/>
        <v>58698858</v>
      </c>
    </row>
    <row r="155" spans="1:46" ht="13.5" customHeight="1">
      <c r="A155" s="72" t="s">
        <v>52</v>
      </c>
      <c r="B155" s="77" t="s">
        <v>10</v>
      </c>
      <c r="C155" s="38">
        <v>91111</v>
      </c>
      <c r="D155" s="38">
        <v>8196</v>
      </c>
      <c r="E155" s="38">
        <v>26239</v>
      </c>
      <c r="F155" s="38">
        <v>2697</v>
      </c>
      <c r="G155" s="38">
        <v>45720</v>
      </c>
      <c r="H155" s="38">
        <v>562107</v>
      </c>
      <c r="I155" s="109">
        <v>3388709.1160690989</v>
      </c>
      <c r="J155" s="100">
        <v>2.8839309011172864</v>
      </c>
      <c r="K155" s="38">
        <v>903550</v>
      </c>
      <c r="L155" s="38">
        <v>62564642</v>
      </c>
      <c r="M155" s="38">
        <v>26175296</v>
      </c>
      <c r="N155" s="38">
        <v>6708120</v>
      </c>
      <c r="O155" s="38">
        <v>18310513</v>
      </c>
      <c r="P155" s="38">
        <v>13493061</v>
      </c>
      <c r="Q155" s="38">
        <v>26369922</v>
      </c>
      <c r="R155" s="38">
        <v>1765850</v>
      </c>
      <c r="S155" s="38">
        <v>1069388</v>
      </c>
      <c r="T155" s="38">
        <v>413958</v>
      </c>
      <c r="U155" s="38">
        <v>170727</v>
      </c>
      <c r="V155" s="38">
        <v>25701309</v>
      </c>
      <c r="W155" s="38">
        <v>-713</v>
      </c>
      <c r="X155" s="38">
        <v>132195</v>
      </c>
      <c r="Y155" s="38">
        <v>27276</v>
      </c>
      <c r="Z155" s="38">
        <v>-21236</v>
      </c>
      <c r="AA155" s="38">
        <v>-69</v>
      </c>
      <c r="AB155" s="38">
        <v>-534</v>
      </c>
      <c r="AC155" s="38">
        <v>435186</v>
      </c>
      <c r="AD155" s="38">
        <v>1189</v>
      </c>
      <c r="AE155" s="38">
        <v>3109</v>
      </c>
      <c r="AF155" s="38">
        <v>-19677</v>
      </c>
      <c r="AG155" s="38">
        <v>366089</v>
      </c>
      <c r="AH155" s="38">
        <v>-4842</v>
      </c>
      <c r="AI155" s="38">
        <v>-29801</v>
      </c>
      <c r="AJ155" s="38">
        <v>9136</v>
      </c>
      <c r="AK155" s="26">
        <f t="shared" si="11"/>
        <v>188668426</v>
      </c>
      <c r="AL155" s="38">
        <v>-731720</v>
      </c>
      <c r="AM155" s="38">
        <v>0</v>
      </c>
      <c r="AN155" s="38">
        <v>-3134918</v>
      </c>
      <c r="AO155" s="38">
        <v>-83309</v>
      </c>
      <c r="AP155" s="38">
        <v>118320</v>
      </c>
      <c r="AQ155" s="38">
        <v>163833</v>
      </c>
      <c r="AR155" s="38">
        <v>59288136</v>
      </c>
      <c r="AS155" s="26">
        <f t="shared" si="12"/>
        <v>55620342</v>
      </c>
      <c r="AT155" s="27">
        <f t="shared" si="13"/>
        <v>244288768</v>
      </c>
    </row>
    <row r="156" spans="1:46" ht="13.5" customHeight="1">
      <c r="A156" s="72" t="s">
        <v>53</v>
      </c>
      <c r="B156" s="77" t="s">
        <v>54</v>
      </c>
      <c r="C156" s="38">
        <v>77940</v>
      </c>
      <c r="D156" s="38">
        <v>117861</v>
      </c>
      <c r="E156" s="38">
        <v>2371080</v>
      </c>
      <c r="F156" s="38">
        <v>248175</v>
      </c>
      <c r="G156" s="38">
        <v>609407</v>
      </c>
      <c r="H156" s="38">
        <v>2900135</v>
      </c>
      <c r="I156" s="109">
        <v>2673616.3178722081</v>
      </c>
      <c r="J156" s="100">
        <v>4.6821277920415634</v>
      </c>
      <c r="K156" s="38">
        <v>667203</v>
      </c>
      <c r="L156" s="38">
        <v>1573739</v>
      </c>
      <c r="M156" s="38">
        <v>20929812</v>
      </c>
      <c r="N156" s="38">
        <v>2705363</v>
      </c>
      <c r="O156" s="38">
        <v>5224767</v>
      </c>
      <c r="P156" s="38">
        <v>19768968</v>
      </c>
      <c r="Q156" s="38">
        <v>18833190</v>
      </c>
      <c r="R156" s="38">
        <v>1490999</v>
      </c>
      <c r="S156" s="38">
        <v>1288202</v>
      </c>
      <c r="T156" s="38">
        <v>869133</v>
      </c>
      <c r="U156" s="38">
        <v>548021</v>
      </c>
      <c r="V156" s="38">
        <v>25476298</v>
      </c>
      <c r="W156" s="38">
        <v>1147254</v>
      </c>
      <c r="X156" s="38">
        <v>1077767</v>
      </c>
      <c r="Y156" s="38">
        <v>1741987</v>
      </c>
      <c r="Z156" s="38">
        <v>251710</v>
      </c>
      <c r="AA156" s="38">
        <v>141513</v>
      </c>
      <c r="AB156" s="38">
        <v>200822</v>
      </c>
      <c r="AC156" s="38">
        <v>1247365</v>
      </c>
      <c r="AD156" s="38">
        <v>1101443</v>
      </c>
      <c r="AE156" s="38">
        <v>1742143</v>
      </c>
      <c r="AF156" s="38">
        <v>474147</v>
      </c>
      <c r="AG156" s="38">
        <v>355816</v>
      </c>
      <c r="AH156" s="38">
        <v>255624</v>
      </c>
      <c r="AI156" s="38">
        <v>953188</v>
      </c>
      <c r="AJ156" s="38">
        <v>15794</v>
      </c>
      <c r="AK156" s="26">
        <f t="shared" si="11"/>
        <v>119080487</v>
      </c>
      <c r="AL156" s="38">
        <v>1887217</v>
      </c>
      <c r="AM156" s="38">
        <v>0</v>
      </c>
      <c r="AN156" s="38">
        <v>6527800</v>
      </c>
      <c r="AO156" s="38">
        <v>2370938</v>
      </c>
      <c r="AP156" s="38">
        <v>174696</v>
      </c>
      <c r="AQ156" s="38">
        <v>0</v>
      </c>
      <c r="AR156" s="38">
        <v>17376557</v>
      </c>
      <c r="AS156" s="26">
        <f t="shared" si="12"/>
        <v>28337208</v>
      </c>
      <c r="AT156" s="27">
        <f t="shared" si="13"/>
        <v>147417695</v>
      </c>
    </row>
    <row r="157" spans="1:46" ht="13.5" customHeight="1">
      <c r="A157" s="72" t="s">
        <v>55</v>
      </c>
      <c r="B157" s="77" t="s">
        <v>56</v>
      </c>
      <c r="C157" s="38">
        <v>181673</v>
      </c>
      <c r="D157" s="38">
        <v>13321</v>
      </c>
      <c r="E157" s="38">
        <v>179518</v>
      </c>
      <c r="F157" s="38">
        <v>41611</v>
      </c>
      <c r="G157" s="38">
        <v>229681</v>
      </c>
      <c r="H157" s="38">
        <v>822010</v>
      </c>
      <c r="I157" s="109">
        <v>730147.74729454634</v>
      </c>
      <c r="J157" s="100">
        <v>1.2527054537033613</v>
      </c>
      <c r="K157" s="38">
        <v>94215</v>
      </c>
      <c r="L157" s="38">
        <v>473834</v>
      </c>
      <c r="M157" s="38">
        <v>1129751</v>
      </c>
      <c r="N157" s="38">
        <v>111091806</v>
      </c>
      <c r="O157" s="38">
        <v>14357957</v>
      </c>
      <c r="P157" s="38">
        <v>8884238</v>
      </c>
      <c r="Q157" s="38">
        <v>11446256</v>
      </c>
      <c r="R157" s="38">
        <v>150345</v>
      </c>
      <c r="S157" s="38">
        <v>2381775</v>
      </c>
      <c r="T157" s="38">
        <v>1173725</v>
      </c>
      <c r="U157" s="38">
        <v>449580</v>
      </c>
      <c r="V157" s="38">
        <v>1185699</v>
      </c>
      <c r="W157" s="38">
        <v>3095517</v>
      </c>
      <c r="X157" s="38">
        <v>872734</v>
      </c>
      <c r="Y157" s="38">
        <v>1525087</v>
      </c>
      <c r="Z157" s="38">
        <v>10007238</v>
      </c>
      <c r="AA157" s="38">
        <v>604376</v>
      </c>
      <c r="AB157" s="38">
        <v>631498</v>
      </c>
      <c r="AC157" s="38">
        <v>13688295</v>
      </c>
      <c r="AD157" s="38">
        <v>1617811</v>
      </c>
      <c r="AE157" s="38">
        <v>1101557</v>
      </c>
      <c r="AF157" s="38">
        <v>1963339</v>
      </c>
      <c r="AG157" s="38">
        <v>4361931</v>
      </c>
      <c r="AH157" s="38">
        <v>523425</v>
      </c>
      <c r="AI157" s="38">
        <v>2615814</v>
      </c>
      <c r="AJ157" s="38">
        <v>51754</v>
      </c>
      <c r="AK157" s="26">
        <f t="shared" si="11"/>
        <v>197677520</v>
      </c>
      <c r="AL157" s="38">
        <v>25091325</v>
      </c>
      <c r="AM157" s="38">
        <v>0</v>
      </c>
      <c r="AN157" s="38">
        <v>30155221</v>
      </c>
      <c r="AO157" s="38">
        <v>4162495</v>
      </c>
      <c r="AP157" s="38">
        <v>486519</v>
      </c>
      <c r="AQ157" s="38">
        <v>0</v>
      </c>
      <c r="AR157" s="38">
        <v>191050500</v>
      </c>
      <c r="AS157" s="26">
        <f t="shared" si="12"/>
        <v>250946060</v>
      </c>
      <c r="AT157" s="27">
        <f t="shared" si="13"/>
        <v>448623580</v>
      </c>
    </row>
    <row r="158" spans="1:46" ht="13.5" customHeight="1">
      <c r="A158" s="72" t="s">
        <v>57</v>
      </c>
      <c r="B158" s="77" t="s">
        <v>58</v>
      </c>
      <c r="C158" s="38">
        <v>127130</v>
      </c>
      <c r="D158" s="38">
        <v>94350</v>
      </c>
      <c r="E158" s="38">
        <v>134004</v>
      </c>
      <c r="F158" s="38">
        <v>66778</v>
      </c>
      <c r="G158" s="38">
        <v>206216</v>
      </c>
      <c r="H158" s="38">
        <v>469945</v>
      </c>
      <c r="I158" s="109">
        <v>534498.05003808765</v>
      </c>
      <c r="J158" s="100">
        <v>0.94996191238251726</v>
      </c>
      <c r="K158" s="38">
        <v>332306</v>
      </c>
      <c r="L158" s="38">
        <v>548446</v>
      </c>
      <c r="M158" s="38">
        <v>1395586</v>
      </c>
      <c r="N158" s="38">
        <v>8141816</v>
      </c>
      <c r="O158" s="38">
        <v>43904389</v>
      </c>
      <c r="P158" s="38">
        <v>8454471</v>
      </c>
      <c r="Q158" s="38">
        <v>25867522</v>
      </c>
      <c r="R158" s="38">
        <v>311865</v>
      </c>
      <c r="S158" s="38">
        <v>2037205</v>
      </c>
      <c r="T158" s="38">
        <v>2146060</v>
      </c>
      <c r="U158" s="38">
        <v>972943</v>
      </c>
      <c r="V158" s="38">
        <v>15485158</v>
      </c>
      <c r="W158" s="38">
        <v>1888909</v>
      </c>
      <c r="X158" s="38">
        <v>3253534</v>
      </c>
      <c r="Y158" s="38">
        <v>2548408</v>
      </c>
      <c r="Z158" s="38">
        <v>3173256</v>
      </c>
      <c r="AA158" s="38">
        <v>368769</v>
      </c>
      <c r="AB158" s="38">
        <v>850238</v>
      </c>
      <c r="AC158" s="38">
        <v>8335414</v>
      </c>
      <c r="AD158" s="38">
        <v>2483438</v>
      </c>
      <c r="AE158" s="38">
        <v>982153</v>
      </c>
      <c r="AF158" s="38">
        <v>785992</v>
      </c>
      <c r="AG158" s="38">
        <v>597813</v>
      </c>
      <c r="AH158" s="38">
        <v>457683</v>
      </c>
      <c r="AI158" s="38">
        <v>3195593</v>
      </c>
      <c r="AJ158" s="38">
        <v>11785</v>
      </c>
      <c r="AK158" s="26">
        <f t="shared" si="11"/>
        <v>140163674</v>
      </c>
      <c r="AL158" s="38">
        <v>11254160</v>
      </c>
      <c r="AM158" s="38">
        <v>0</v>
      </c>
      <c r="AN158" s="38">
        <v>15865555</v>
      </c>
      <c r="AO158" s="38">
        <v>302355</v>
      </c>
      <c r="AP158" s="38">
        <v>-360625</v>
      </c>
      <c r="AQ158" s="38">
        <v>0</v>
      </c>
      <c r="AR158" s="38">
        <v>46805116</v>
      </c>
      <c r="AS158" s="26">
        <f t="shared" si="12"/>
        <v>73866561</v>
      </c>
      <c r="AT158" s="27">
        <f t="shared" si="13"/>
        <v>214030235</v>
      </c>
    </row>
    <row r="159" spans="1:46" ht="13.5" customHeight="1">
      <c r="A159" s="72" t="s">
        <v>59</v>
      </c>
      <c r="B159" s="77" t="s">
        <v>11</v>
      </c>
      <c r="C159" s="38">
        <v>129919</v>
      </c>
      <c r="D159" s="38">
        <v>120796</v>
      </c>
      <c r="E159" s="38">
        <v>347920</v>
      </c>
      <c r="F159" s="38">
        <v>31863</v>
      </c>
      <c r="G159" s="38">
        <v>94508</v>
      </c>
      <c r="H159" s="38">
        <v>1382092</v>
      </c>
      <c r="I159" s="109">
        <v>788528</v>
      </c>
      <c r="J159" s="100">
        <v>100</v>
      </c>
      <c r="K159" s="38">
        <v>155078</v>
      </c>
      <c r="L159" s="38">
        <v>734140</v>
      </c>
      <c r="M159" s="38">
        <v>2600060</v>
      </c>
      <c r="N159" s="38">
        <v>1519513</v>
      </c>
      <c r="O159" s="38">
        <v>1498282</v>
      </c>
      <c r="P159" s="38">
        <v>39011415</v>
      </c>
      <c r="Q159" s="38">
        <v>9746821</v>
      </c>
      <c r="R159" s="38">
        <v>56187</v>
      </c>
      <c r="S159" s="38">
        <v>1472837</v>
      </c>
      <c r="T159" s="38">
        <v>1127344</v>
      </c>
      <c r="U159" s="38">
        <v>1179355</v>
      </c>
      <c r="V159" s="38">
        <v>11223089</v>
      </c>
      <c r="W159" s="38">
        <v>650365</v>
      </c>
      <c r="X159" s="38">
        <v>989282</v>
      </c>
      <c r="Y159" s="38">
        <v>370234</v>
      </c>
      <c r="Z159" s="38">
        <v>128658</v>
      </c>
      <c r="AA159" s="38">
        <v>50603</v>
      </c>
      <c r="AB159" s="38">
        <v>337724</v>
      </c>
      <c r="AC159" s="38">
        <v>1323848</v>
      </c>
      <c r="AD159" s="38">
        <v>383679</v>
      </c>
      <c r="AE159" s="38">
        <v>539228</v>
      </c>
      <c r="AF159" s="38">
        <v>368941</v>
      </c>
      <c r="AG159" s="38">
        <v>247391</v>
      </c>
      <c r="AH159" s="38">
        <v>151440</v>
      </c>
      <c r="AI159" s="38">
        <v>135707</v>
      </c>
      <c r="AJ159" s="38">
        <v>6506</v>
      </c>
      <c r="AK159" s="26">
        <f t="shared" si="11"/>
        <v>78903453</v>
      </c>
      <c r="AL159" s="38">
        <v>2796216</v>
      </c>
      <c r="AM159" s="38">
        <v>0</v>
      </c>
      <c r="AN159" s="38">
        <v>90764774</v>
      </c>
      <c r="AO159" s="38">
        <v>1006484</v>
      </c>
      <c r="AP159" s="38">
        <v>229139</v>
      </c>
      <c r="AQ159" s="38">
        <v>0</v>
      </c>
      <c r="AR159" s="38">
        <v>70735546</v>
      </c>
      <c r="AS159" s="26">
        <f t="shared" si="12"/>
        <v>165532159</v>
      </c>
      <c r="AT159" s="27">
        <f t="shared" si="13"/>
        <v>244435612</v>
      </c>
    </row>
    <row r="160" spans="1:46" ht="13.5" customHeight="1">
      <c r="A160" s="72" t="s">
        <v>60</v>
      </c>
      <c r="B160" s="77" t="s">
        <v>12</v>
      </c>
      <c r="C160" s="38">
        <v>214292</v>
      </c>
      <c r="D160" s="38">
        <v>171746</v>
      </c>
      <c r="E160" s="38">
        <v>36186</v>
      </c>
      <c r="F160" s="38">
        <v>13210</v>
      </c>
      <c r="G160" s="38">
        <v>88391</v>
      </c>
      <c r="H160" s="38">
        <v>261289</v>
      </c>
      <c r="I160" s="109">
        <v>302512.43789051368</v>
      </c>
      <c r="J160" s="100">
        <v>0.56210948633998048</v>
      </c>
      <c r="K160" s="38">
        <v>199501</v>
      </c>
      <c r="L160" s="38">
        <v>171865</v>
      </c>
      <c r="M160" s="38">
        <v>276460</v>
      </c>
      <c r="N160" s="38">
        <v>16439</v>
      </c>
      <c r="O160" s="38">
        <v>89307</v>
      </c>
      <c r="P160" s="38">
        <v>701786</v>
      </c>
      <c r="Q160" s="38">
        <v>96037051</v>
      </c>
      <c r="R160" s="38">
        <v>18832</v>
      </c>
      <c r="S160" s="38">
        <v>3598588</v>
      </c>
      <c r="T160" s="38">
        <v>153854</v>
      </c>
      <c r="U160" s="38">
        <v>575492</v>
      </c>
      <c r="V160" s="38">
        <v>37247</v>
      </c>
      <c r="W160" s="38">
        <v>681877</v>
      </c>
      <c r="X160" s="38">
        <v>10079696</v>
      </c>
      <c r="Y160" s="38">
        <v>179329</v>
      </c>
      <c r="Z160" s="38">
        <v>151437</v>
      </c>
      <c r="AA160" s="38">
        <v>22514</v>
      </c>
      <c r="AB160" s="38">
        <v>43088</v>
      </c>
      <c r="AC160" s="38">
        <v>3650026</v>
      </c>
      <c r="AD160" s="38">
        <v>876040</v>
      </c>
      <c r="AE160" s="38">
        <v>3578727</v>
      </c>
      <c r="AF160" s="38">
        <v>166906</v>
      </c>
      <c r="AG160" s="38">
        <v>225780</v>
      </c>
      <c r="AH160" s="38">
        <v>108240</v>
      </c>
      <c r="AI160" s="38">
        <v>7993657</v>
      </c>
      <c r="AJ160" s="38">
        <v>7888</v>
      </c>
      <c r="AK160" s="26">
        <f t="shared" si="11"/>
        <v>130729254</v>
      </c>
      <c r="AL160" s="38">
        <v>40901705</v>
      </c>
      <c r="AM160" s="38">
        <v>0</v>
      </c>
      <c r="AN160" s="38">
        <v>42292727</v>
      </c>
      <c r="AO160" s="38">
        <v>13019884</v>
      </c>
      <c r="AP160" s="38">
        <v>3133154</v>
      </c>
      <c r="AQ160" s="38">
        <v>0</v>
      </c>
      <c r="AR160" s="38">
        <v>157357500</v>
      </c>
      <c r="AS160" s="26">
        <f t="shared" si="12"/>
        <v>256704970</v>
      </c>
      <c r="AT160" s="27">
        <f t="shared" si="13"/>
        <v>387434224</v>
      </c>
    </row>
    <row r="161" spans="1:46" ht="13.5" customHeight="1">
      <c r="A161" s="72" t="s">
        <v>61</v>
      </c>
      <c r="B161" s="77" t="s">
        <v>135</v>
      </c>
      <c r="C161" s="38">
        <v>13043</v>
      </c>
      <c r="D161" s="38">
        <v>4348</v>
      </c>
      <c r="E161" s="38">
        <v>265784</v>
      </c>
      <c r="F161" s="38">
        <v>400619</v>
      </c>
      <c r="G161" s="38">
        <v>49555</v>
      </c>
      <c r="H161" s="38">
        <v>19543</v>
      </c>
      <c r="I161" s="109">
        <v>63825.907243230256</v>
      </c>
      <c r="J161" s="100">
        <v>9.275676974681614E-2</v>
      </c>
      <c r="K161" s="38">
        <v>9664</v>
      </c>
      <c r="L161" s="38">
        <v>32816</v>
      </c>
      <c r="M161" s="38">
        <v>127540</v>
      </c>
      <c r="N161" s="38">
        <v>53518</v>
      </c>
      <c r="O161" s="38">
        <v>39413</v>
      </c>
      <c r="P161" s="38">
        <v>60546</v>
      </c>
      <c r="Q161" s="38">
        <v>58127</v>
      </c>
      <c r="R161" s="38">
        <v>1765026</v>
      </c>
      <c r="S161" s="38">
        <v>211009</v>
      </c>
      <c r="T161" s="38">
        <v>19253</v>
      </c>
      <c r="U161" s="38">
        <v>201605</v>
      </c>
      <c r="V161" s="38">
        <v>2450611</v>
      </c>
      <c r="W161" s="38">
        <v>958311</v>
      </c>
      <c r="X161" s="38">
        <v>218259</v>
      </c>
      <c r="Y161" s="38">
        <v>2773762</v>
      </c>
      <c r="Z161" s="38">
        <v>459712</v>
      </c>
      <c r="AA161" s="38">
        <v>238915</v>
      </c>
      <c r="AB161" s="38">
        <v>984873</v>
      </c>
      <c r="AC161" s="38">
        <v>1963776</v>
      </c>
      <c r="AD161" s="38">
        <v>962940</v>
      </c>
      <c r="AE161" s="38">
        <v>659646</v>
      </c>
      <c r="AF161" s="38">
        <v>2473529</v>
      </c>
      <c r="AG161" s="38">
        <v>820745</v>
      </c>
      <c r="AH161" s="38">
        <v>1323183</v>
      </c>
      <c r="AI161" s="38">
        <v>807734</v>
      </c>
      <c r="AJ161" s="38">
        <v>11875</v>
      </c>
      <c r="AK161" s="26">
        <f t="shared" si="11"/>
        <v>20503106</v>
      </c>
      <c r="AL161" s="38">
        <v>10947329</v>
      </c>
      <c r="AM161" s="38">
        <v>0</v>
      </c>
      <c r="AN161" s="38">
        <v>4161544</v>
      </c>
      <c r="AO161" s="38">
        <v>210426</v>
      </c>
      <c r="AP161" s="38">
        <v>166929</v>
      </c>
      <c r="AQ161" s="38">
        <v>1489650</v>
      </c>
      <c r="AR161" s="38">
        <v>3980497</v>
      </c>
      <c r="AS161" s="26">
        <f t="shared" si="12"/>
        <v>20956375</v>
      </c>
      <c r="AT161" s="27">
        <f t="shared" si="13"/>
        <v>41459481</v>
      </c>
    </row>
    <row r="162" spans="1:46" ht="13.5" customHeight="1">
      <c r="A162" s="72" t="s">
        <v>63</v>
      </c>
      <c r="B162" s="77" t="s">
        <v>64</v>
      </c>
      <c r="C162" s="38">
        <v>242070</v>
      </c>
      <c r="D162" s="38">
        <v>152155</v>
      </c>
      <c r="E162" s="38">
        <v>5486522</v>
      </c>
      <c r="F162" s="38">
        <v>9985095</v>
      </c>
      <c r="G162" s="38">
        <v>1801603</v>
      </c>
      <c r="H162" s="38">
        <v>435565</v>
      </c>
      <c r="I162" s="109">
        <v>9541651.0404655579</v>
      </c>
      <c r="J162" s="100">
        <v>17.959534442301969</v>
      </c>
      <c r="K162" s="38">
        <v>1369996</v>
      </c>
      <c r="L162" s="38">
        <v>4224299</v>
      </c>
      <c r="M162" s="38">
        <v>5725936</v>
      </c>
      <c r="N162" s="38">
        <v>18958535</v>
      </c>
      <c r="O162" s="38">
        <v>6950897</v>
      </c>
      <c r="P162" s="38">
        <v>12079284</v>
      </c>
      <c r="Q162" s="38">
        <v>8404373</v>
      </c>
      <c r="R162" s="38">
        <v>2035952</v>
      </c>
      <c r="S162" s="38">
        <v>12334112</v>
      </c>
      <c r="T162" s="38">
        <v>411980</v>
      </c>
      <c r="U162" s="38">
        <v>403424</v>
      </c>
      <c r="V162" s="38">
        <v>190115</v>
      </c>
      <c r="W162" s="38">
        <v>524872</v>
      </c>
      <c r="X162" s="38">
        <v>87915</v>
      </c>
      <c r="Y162" s="38">
        <v>119377</v>
      </c>
      <c r="Z162" s="38">
        <v>257520</v>
      </c>
      <c r="AA162" s="38">
        <v>52047</v>
      </c>
      <c r="AB162" s="38">
        <v>76140</v>
      </c>
      <c r="AC162" s="38">
        <v>312264</v>
      </c>
      <c r="AD162" s="38">
        <v>1017368</v>
      </c>
      <c r="AE162" s="38">
        <v>230996</v>
      </c>
      <c r="AF162" s="38">
        <v>285366</v>
      </c>
      <c r="AG162" s="38">
        <v>1116365</v>
      </c>
      <c r="AH162" s="38">
        <v>128510</v>
      </c>
      <c r="AI162" s="38">
        <v>55174</v>
      </c>
      <c r="AJ162" s="38">
        <v>1492</v>
      </c>
      <c r="AK162" s="26">
        <f t="shared" si="11"/>
        <v>104998988</v>
      </c>
      <c r="AL162" s="38">
        <v>28837</v>
      </c>
      <c r="AM162" s="38">
        <v>0</v>
      </c>
      <c r="AN162" s="38">
        <v>0</v>
      </c>
      <c r="AO162" s="38">
        <v>0</v>
      </c>
      <c r="AP162" s="38">
        <v>0</v>
      </c>
      <c r="AQ162" s="38">
        <v>0</v>
      </c>
      <c r="AR162" s="38">
        <v>4155270</v>
      </c>
      <c r="AS162" s="26">
        <f t="shared" si="12"/>
        <v>4184107</v>
      </c>
      <c r="AT162" s="27">
        <f t="shared" si="13"/>
        <v>109183095</v>
      </c>
    </row>
    <row r="163" spans="1:46" ht="13.5" customHeight="1">
      <c r="A163" s="72" t="s">
        <v>65</v>
      </c>
      <c r="B163" s="77" t="s">
        <v>13</v>
      </c>
      <c r="C163" s="38">
        <v>1767890</v>
      </c>
      <c r="D163" s="38">
        <v>309520</v>
      </c>
      <c r="E163" s="38">
        <v>3418331</v>
      </c>
      <c r="F163" s="38">
        <v>1482512</v>
      </c>
      <c r="G163" s="38">
        <v>2587944</v>
      </c>
      <c r="H163" s="38">
        <v>4698075</v>
      </c>
      <c r="I163" s="109">
        <v>13644306</v>
      </c>
      <c r="J163" s="100">
        <v>200</v>
      </c>
      <c r="K163" s="38">
        <v>2510460</v>
      </c>
      <c r="L163" s="38">
        <v>13713403</v>
      </c>
      <c r="M163" s="38">
        <v>1874689</v>
      </c>
      <c r="N163" s="38">
        <v>10769625</v>
      </c>
      <c r="O163" s="38">
        <v>1765024</v>
      </c>
      <c r="P163" s="38">
        <v>2141590</v>
      </c>
      <c r="Q163" s="38">
        <v>4950664</v>
      </c>
      <c r="R163" s="38">
        <v>197778</v>
      </c>
      <c r="S163" s="38">
        <v>810329</v>
      </c>
      <c r="T163" s="38">
        <v>25782761</v>
      </c>
      <c r="U163" s="38">
        <v>909490</v>
      </c>
      <c r="V163" s="38">
        <v>748789</v>
      </c>
      <c r="W163" s="38">
        <v>3749316</v>
      </c>
      <c r="X163" s="38">
        <v>3699428</v>
      </c>
      <c r="Y163" s="38">
        <v>1395483</v>
      </c>
      <c r="Z163" s="38">
        <v>1207141</v>
      </c>
      <c r="AA163" s="38">
        <v>1004513</v>
      </c>
      <c r="AB163" s="38">
        <v>2119641</v>
      </c>
      <c r="AC163" s="38">
        <v>6920949</v>
      </c>
      <c r="AD163" s="38">
        <v>477521</v>
      </c>
      <c r="AE163" s="38">
        <v>1132201</v>
      </c>
      <c r="AF163" s="38">
        <v>3465835</v>
      </c>
      <c r="AG163" s="38">
        <v>1954483</v>
      </c>
      <c r="AH163" s="38">
        <v>920786</v>
      </c>
      <c r="AI163" s="38">
        <v>777356</v>
      </c>
      <c r="AJ163" s="38">
        <v>2523</v>
      </c>
      <c r="AK163" s="26">
        <f t="shared" si="11"/>
        <v>122910556</v>
      </c>
      <c r="AL163" s="38">
        <v>28833591</v>
      </c>
      <c r="AM163" s="38">
        <v>0</v>
      </c>
      <c r="AN163" s="38">
        <v>0</v>
      </c>
      <c r="AO163" s="38">
        <v>0</v>
      </c>
      <c r="AP163" s="38">
        <v>0</v>
      </c>
      <c r="AQ163" s="38">
        <v>0</v>
      </c>
      <c r="AR163" s="38">
        <v>163506</v>
      </c>
      <c r="AS163" s="26">
        <f t="shared" si="12"/>
        <v>28997097</v>
      </c>
      <c r="AT163" s="27">
        <f t="shared" si="13"/>
        <v>151907653</v>
      </c>
    </row>
    <row r="164" spans="1:46" ht="13.5" customHeight="1">
      <c r="A164" s="72" t="s">
        <v>66</v>
      </c>
      <c r="B164" s="77" t="s">
        <v>67</v>
      </c>
      <c r="C164" s="38">
        <v>89368</v>
      </c>
      <c r="D164" s="38">
        <v>14541</v>
      </c>
      <c r="E164" s="38">
        <v>826779</v>
      </c>
      <c r="F164" s="38">
        <v>386115</v>
      </c>
      <c r="G164" s="38">
        <v>575476</v>
      </c>
      <c r="H164" s="38">
        <v>130595</v>
      </c>
      <c r="I164" s="109">
        <v>4924306.1122185094</v>
      </c>
      <c r="J164" s="100">
        <v>9.8877814904713581</v>
      </c>
      <c r="K164" s="38">
        <v>637797</v>
      </c>
      <c r="L164" s="38">
        <v>5187656</v>
      </c>
      <c r="M164" s="38">
        <v>905612</v>
      </c>
      <c r="N164" s="38">
        <v>235320</v>
      </c>
      <c r="O164" s="38">
        <v>281475</v>
      </c>
      <c r="P164" s="38">
        <v>742523</v>
      </c>
      <c r="Q164" s="38">
        <v>461476</v>
      </c>
      <c r="R164" s="38">
        <v>55082</v>
      </c>
      <c r="S164" s="38">
        <v>255182</v>
      </c>
      <c r="T164" s="38">
        <v>332905</v>
      </c>
      <c r="U164" s="38">
        <v>2236474</v>
      </c>
      <c r="V164" s="38">
        <v>341237</v>
      </c>
      <c r="W164" s="38">
        <v>165479</v>
      </c>
      <c r="X164" s="38">
        <v>464005</v>
      </c>
      <c r="Y164" s="38">
        <v>2878054</v>
      </c>
      <c r="Z164" s="38">
        <v>361325</v>
      </c>
      <c r="AA164" s="38">
        <v>303706</v>
      </c>
      <c r="AB164" s="38">
        <v>2573899</v>
      </c>
      <c r="AC164" s="38">
        <v>1005874</v>
      </c>
      <c r="AD164" s="38">
        <v>452566</v>
      </c>
      <c r="AE164" s="38">
        <v>1046785</v>
      </c>
      <c r="AF164" s="38">
        <v>1383081</v>
      </c>
      <c r="AG164" s="38">
        <v>1977621</v>
      </c>
      <c r="AH164" s="38">
        <v>421875</v>
      </c>
      <c r="AI164" s="38">
        <v>627650</v>
      </c>
      <c r="AJ164" s="38">
        <v>8234</v>
      </c>
      <c r="AK164" s="26">
        <f t="shared" si="11"/>
        <v>32290083</v>
      </c>
      <c r="AL164" s="38">
        <v>5621462</v>
      </c>
      <c r="AM164" s="38">
        <v>3376692</v>
      </c>
      <c r="AN164" s="38">
        <v>0</v>
      </c>
      <c r="AO164" s="38">
        <v>0</v>
      </c>
      <c r="AP164" s="38">
        <v>0</v>
      </c>
      <c r="AQ164" s="38">
        <v>0</v>
      </c>
      <c r="AR164" s="38">
        <v>703138</v>
      </c>
      <c r="AS164" s="26">
        <f t="shared" si="12"/>
        <v>9701292</v>
      </c>
      <c r="AT164" s="27">
        <f t="shared" si="13"/>
        <v>41991375</v>
      </c>
    </row>
    <row r="165" spans="1:46" ht="13.5" customHeight="1">
      <c r="A165" s="72" t="s">
        <v>68</v>
      </c>
      <c r="B165" s="77" t="s">
        <v>14</v>
      </c>
      <c r="C165" s="38">
        <v>88514</v>
      </c>
      <c r="D165" s="38">
        <v>32490</v>
      </c>
      <c r="E165" s="38">
        <v>115964</v>
      </c>
      <c r="F165" s="38">
        <v>17981</v>
      </c>
      <c r="G165" s="38">
        <v>52301</v>
      </c>
      <c r="H165" s="38">
        <v>105287</v>
      </c>
      <c r="I165" s="109">
        <v>239146.51869444415</v>
      </c>
      <c r="J165" s="100">
        <v>0.48130555584690365</v>
      </c>
      <c r="K165" s="38">
        <v>35374</v>
      </c>
      <c r="L165" s="38">
        <v>173084</v>
      </c>
      <c r="M165" s="38">
        <v>142250</v>
      </c>
      <c r="N165" s="38">
        <v>79641</v>
      </c>
      <c r="O165" s="38">
        <v>106790</v>
      </c>
      <c r="P165" s="38">
        <v>86476</v>
      </c>
      <c r="Q165" s="38">
        <v>23178</v>
      </c>
      <c r="R165" s="38">
        <v>15431</v>
      </c>
      <c r="S165" s="38">
        <v>19997</v>
      </c>
      <c r="T165" s="38">
        <v>294042</v>
      </c>
      <c r="U165" s="38">
        <v>116218</v>
      </c>
      <c r="V165" s="38">
        <v>22772</v>
      </c>
      <c r="W165" s="38">
        <v>382154</v>
      </c>
      <c r="X165" s="38">
        <v>135823</v>
      </c>
      <c r="Y165" s="38">
        <v>862064</v>
      </c>
      <c r="Z165" s="38">
        <v>378330</v>
      </c>
      <c r="AA165" s="38">
        <v>59155</v>
      </c>
      <c r="AB165" s="38">
        <v>18831564</v>
      </c>
      <c r="AC165" s="38">
        <v>837373</v>
      </c>
      <c r="AD165" s="38">
        <v>366211</v>
      </c>
      <c r="AE165" s="38">
        <v>850453</v>
      </c>
      <c r="AF165" s="38">
        <v>169025</v>
      </c>
      <c r="AG165" s="38">
        <v>98138</v>
      </c>
      <c r="AH165" s="38">
        <v>151080</v>
      </c>
      <c r="AI165" s="38">
        <v>166440</v>
      </c>
      <c r="AJ165" s="38">
        <v>8090</v>
      </c>
      <c r="AK165" s="26">
        <f t="shared" si="11"/>
        <v>25062837</v>
      </c>
      <c r="AL165" s="38">
        <v>0</v>
      </c>
      <c r="AM165" s="38">
        <v>0</v>
      </c>
      <c r="AN165" s="38">
        <v>239341758</v>
      </c>
      <c r="AO165" s="38">
        <v>75543183</v>
      </c>
      <c r="AP165" s="38">
        <v>2120576</v>
      </c>
      <c r="AQ165" s="38">
        <v>0</v>
      </c>
      <c r="AR165" s="38">
        <v>171495</v>
      </c>
      <c r="AS165" s="26">
        <f t="shared" si="12"/>
        <v>317177012</v>
      </c>
      <c r="AT165" s="27">
        <f t="shared" si="13"/>
        <v>342239849</v>
      </c>
    </row>
    <row r="166" spans="1:46" ht="13.5" customHeight="1">
      <c r="A166" s="72" t="s">
        <v>69</v>
      </c>
      <c r="B166" s="77" t="s">
        <v>70</v>
      </c>
      <c r="C166" s="38">
        <v>4017209</v>
      </c>
      <c r="D166" s="38">
        <v>92735</v>
      </c>
      <c r="E166" s="38">
        <v>13462055</v>
      </c>
      <c r="F166" s="38">
        <v>6233010</v>
      </c>
      <c r="G166" s="38">
        <v>3475883</v>
      </c>
      <c r="H166" s="38">
        <v>2667447</v>
      </c>
      <c r="I166" s="109">
        <v>16297604.790265253</v>
      </c>
      <c r="J166" s="100">
        <v>31.209734747886156</v>
      </c>
      <c r="K166" s="38">
        <v>2168116</v>
      </c>
      <c r="L166" s="38">
        <v>4793951</v>
      </c>
      <c r="M166" s="38">
        <v>4627359</v>
      </c>
      <c r="N166" s="38">
        <v>12829244</v>
      </c>
      <c r="O166" s="38">
        <v>7574944</v>
      </c>
      <c r="P166" s="38">
        <v>7673225</v>
      </c>
      <c r="Q166" s="38">
        <v>14473615</v>
      </c>
      <c r="R166" s="38">
        <v>2501432</v>
      </c>
      <c r="S166" s="38">
        <v>2360968</v>
      </c>
      <c r="T166" s="38">
        <v>3590237</v>
      </c>
      <c r="U166" s="38">
        <v>1036779</v>
      </c>
      <c r="V166" s="38">
        <v>12332647</v>
      </c>
      <c r="W166" s="38">
        <v>17942218</v>
      </c>
      <c r="X166" s="38">
        <v>3342006</v>
      </c>
      <c r="Y166" s="38">
        <v>17133669</v>
      </c>
      <c r="Z166" s="38">
        <v>8902929</v>
      </c>
      <c r="AA166" s="38">
        <v>532693</v>
      </c>
      <c r="AB166" s="38">
        <v>771050</v>
      </c>
      <c r="AC166" s="38">
        <v>6796534</v>
      </c>
      <c r="AD166" s="38">
        <v>2561456</v>
      </c>
      <c r="AE166" s="38">
        <v>2237644</v>
      </c>
      <c r="AF166" s="38">
        <v>2524334</v>
      </c>
      <c r="AG166" s="38">
        <v>13549614</v>
      </c>
      <c r="AH166" s="38">
        <v>1885064</v>
      </c>
      <c r="AI166" s="38">
        <v>3582370</v>
      </c>
      <c r="AJ166" s="38">
        <v>43486</v>
      </c>
      <c r="AK166" s="26">
        <f t="shared" si="11"/>
        <v>204013559</v>
      </c>
      <c r="AL166" s="38">
        <v>134942015</v>
      </c>
      <c r="AM166" s="38">
        <v>0</v>
      </c>
      <c r="AN166" s="38">
        <v>20207842</v>
      </c>
      <c r="AO166" s="38">
        <v>1806222</v>
      </c>
      <c r="AP166" s="38">
        <v>582671</v>
      </c>
      <c r="AQ166" s="38">
        <v>578417</v>
      </c>
      <c r="AR166" s="38">
        <v>39426548</v>
      </c>
      <c r="AS166" s="26">
        <f t="shared" si="12"/>
        <v>197543715</v>
      </c>
      <c r="AT166" s="27">
        <f t="shared" si="13"/>
        <v>401557274</v>
      </c>
    </row>
    <row r="167" spans="1:46" ht="13.5" customHeight="1">
      <c r="A167" s="72" t="s">
        <v>71</v>
      </c>
      <c r="B167" s="77" t="s">
        <v>42</v>
      </c>
      <c r="C167" s="38">
        <v>1919167</v>
      </c>
      <c r="D167" s="38">
        <v>799284</v>
      </c>
      <c r="E167" s="38">
        <v>6346706</v>
      </c>
      <c r="F167" s="38">
        <v>2668966</v>
      </c>
      <c r="G167" s="38">
        <v>2365196</v>
      </c>
      <c r="H167" s="38">
        <v>1716791</v>
      </c>
      <c r="I167" s="109">
        <v>11761451.759522457</v>
      </c>
      <c r="J167" s="100">
        <v>23.240477543601457</v>
      </c>
      <c r="K167" s="38">
        <v>5779159</v>
      </c>
      <c r="L167" s="38">
        <v>5382372</v>
      </c>
      <c r="M167" s="38">
        <v>3816276</v>
      </c>
      <c r="N167" s="38">
        <v>4240610</v>
      </c>
      <c r="O167" s="38">
        <v>2821897</v>
      </c>
      <c r="P167" s="38">
        <v>4171193</v>
      </c>
      <c r="Q167" s="38">
        <v>3826162</v>
      </c>
      <c r="R167" s="38">
        <v>1062698</v>
      </c>
      <c r="S167" s="38">
        <v>1535413</v>
      </c>
      <c r="T167" s="38">
        <v>700835</v>
      </c>
      <c r="U167" s="38">
        <v>3021647</v>
      </c>
      <c r="V167" s="38">
        <v>3493413</v>
      </c>
      <c r="W167" s="38">
        <v>30984703</v>
      </c>
      <c r="X167" s="38">
        <v>36280065</v>
      </c>
      <c r="Y167" s="38">
        <v>3439509</v>
      </c>
      <c r="Z167" s="38">
        <v>1733366</v>
      </c>
      <c r="AA167" s="38">
        <v>763410</v>
      </c>
      <c r="AB167" s="38">
        <v>734963</v>
      </c>
      <c r="AC167" s="38">
        <v>4637907</v>
      </c>
      <c r="AD167" s="38">
        <v>2409856</v>
      </c>
      <c r="AE167" s="38">
        <v>2789128</v>
      </c>
      <c r="AF167" s="38">
        <v>779792</v>
      </c>
      <c r="AG167" s="38">
        <v>1650316</v>
      </c>
      <c r="AH167" s="38">
        <v>456533</v>
      </c>
      <c r="AI167" s="38">
        <v>1197763</v>
      </c>
      <c r="AJ167" s="38">
        <v>194310</v>
      </c>
      <c r="AK167" s="26">
        <f t="shared" si="11"/>
        <v>155480881</v>
      </c>
      <c r="AL167" s="38">
        <v>46349360</v>
      </c>
      <c r="AM167" s="38">
        <v>0</v>
      </c>
      <c r="AN167" s="38">
        <v>454497</v>
      </c>
      <c r="AO167" s="38">
        <v>177198</v>
      </c>
      <c r="AP167" s="38">
        <v>90062</v>
      </c>
      <c r="AQ167" s="38">
        <v>9663</v>
      </c>
      <c r="AR167" s="38">
        <v>51177729</v>
      </c>
      <c r="AS167" s="26">
        <f t="shared" si="12"/>
        <v>98258509</v>
      </c>
      <c r="AT167" s="27">
        <f t="shared" si="13"/>
        <v>253739390</v>
      </c>
    </row>
    <row r="168" spans="1:46" ht="13.5" customHeight="1">
      <c r="A168" s="72" t="s">
        <v>72</v>
      </c>
      <c r="B168" s="77" t="s">
        <v>15</v>
      </c>
      <c r="C168" s="38">
        <v>486496</v>
      </c>
      <c r="D168" s="38">
        <v>118589</v>
      </c>
      <c r="E168" s="38">
        <v>714237</v>
      </c>
      <c r="F168" s="38">
        <v>554536</v>
      </c>
      <c r="G168" s="38">
        <v>579581</v>
      </c>
      <c r="H168" s="38">
        <v>281811</v>
      </c>
      <c r="I168" s="109">
        <v>1877937.4403341797</v>
      </c>
      <c r="J168" s="100">
        <v>3.5596658203160585</v>
      </c>
      <c r="K168" s="38">
        <v>397497</v>
      </c>
      <c r="L168" s="38">
        <v>909887</v>
      </c>
      <c r="M168" s="38">
        <v>1188218</v>
      </c>
      <c r="N168" s="38">
        <v>1271637</v>
      </c>
      <c r="O168" s="38">
        <v>654787</v>
      </c>
      <c r="P168" s="38">
        <v>1409906</v>
      </c>
      <c r="Q168" s="38">
        <v>1251367</v>
      </c>
      <c r="R168" s="38">
        <v>249705</v>
      </c>
      <c r="S168" s="38">
        <v>2627810</v>
      </c>
      <c r="T168" s="38">
        <v>395221</v>
      </c>
      <c r="U168" s="38">
        <v>706263</v>
      </c>
      <c r="V168" s="38">
        <v>1124688</v>
      </c>
      <c r="W168" s="38">
        <v>16374635</v>
      </c>
      <c r="X168" s="38">
        <v>2603168</v>
      </c>
      <c r="Y168" s="38">
        <v>1489195</v>
      </c>
      <c r="Z168" s="38">
        <v>3506755</v>
      </c>
      <c r="AA168" s="38">
        <v>4440413</v>
      </c>
      <c r="AB168" s="38">
        <v>2669324</v>
      </c>
      <c r="AC168" s="38">
        <v>13245276</v>
      </c>
      <c r="AD168" s="38">
        <v>4849979</v>
      </c>
      <c r="AE168" s="38">
        <v>5957103</v>
      </c>
      <c r="AF168" s="38">
        <v>4252669</v>
      </c>
      <c r="AG168" s="38">
        <v>5569033</v>
      </c>
      <c r="AH168" s="38">
        <v>2299807</v>
      </c>
      <c r="AI168" s="38">
        <v>5143416</v>
      </c>
      <c r="AJ168" s="38">
        <v>7472</v>
      </c>
      <c r="AK168" s="26">
        <f t="shared" si="11"/>
        <v>89208422</v>
      </c>
      <c r="AL168" s="38">
        <v>143478057</v>
      </c>
      <c r="AM168" s="38">
        <v>0</v>
      </c>
      <c r="AN168" s="38">
        <v>0</v>
      </c>
      <c r="AO168" s="38">
        <v>0</v>
      </c>
      <c r="AP168" s="38">
        <v>0</v>
      </c>
      <c r="AQ168" s="38">
        <v>0</v>
      </c>
      <c r="AR168" s="38">
        <v>10651506</v>
      </c>
      <c r="AS168" s="26">
        <f t="shared" si="12"/>
        <v>154129563</v>
      </c>
      <c r="AT168" s="27">
        <f t="shared" si="13"/>
        <v>243337985</v>
      </c>
    </row>
    <row r="169" spans="1:46" ht="13.5" customHeight="1">
      <c r="A169" s="72" t="s">
        <v>73</v>
      </c>
      <c r="B169" s="77" t="s">
        <v>136</v>
      </c>
      <c r="C169" s="38">
        <v>188130</v>
      </c>
      <c r="D169" s="38">
        <v>26237</v>
      </c>
      <c r="E169" s="38">
        <v>380285</v>
      </c>
      <c r="F169" s="38">
        <v>190878</v>
      </c>
      <c r="G169" s="38">
        <v>371296</v>
      </c>
      <c r="H169" s="38">
        <v>552800</v>
      </c>
      <c r="I169" s="109">
        <v>883075.44382445584</v>
      </c>
      <c r="J169" s="100">
        <v>1.5561755441015928</v>
      </c>
      <c r="K169" s="38">
        <v>168970</v>
      </c>
      <c r="L169" s="38">
        <v>631418</v>
      </c>
      <c r="M169" s="38">
        <v>565439</v>
      </c>
      <c r="N169" s="38">
        <v>1494611</v>
      </c>
      <c r="O169" s="38">
        <v>449424</v>
      </c>
      <c r="P169" s="38">
        <v>653347</v>
      </c>
      <c r="Q169" s="38">
        <v>799174</v>
      </c>
      <c r="R169" s="38">
        <v>268440</v>
      </c>
      <c r="S169" s="38">
        <v>621396</v>
      </c>
      <c r="T169" s="38">
        <v>203385</v>
      </c>
      <c r="U169" s="38">
        <v>580315</v>
      </c>
      <c r="V169" s="38">
        <v>863463</v>
      </c>
      <c r="W169" s="38">
        <v>10892513</v>
      </c>
      <c r="X169" s="38">
        <v>2462241</v>
      </c>
      <c r="Y169" s="38">
        <v>2378818</v>
      </c>
      <c r="Z169" s="38">
        <v>36692460</v>
      </c>
      <c r="AA169" s="38">
        <v>10613194</v>
      </c>
      <c r="AB169" s="38">
        <v>1313214</v>
      </c>
      <c r="AC169" s="38">
        <v>23465329</v>
      </c>
      <c r="AD169" s="38">
        <v>2729996</v>
      </c>
      <c r="AE169" s="38">
        <v>4923042</v>
      </c>
      <c r="AF169" s="38">
        <v>4578307</v>
      </c>
      <c r="AG169" s="38">
        <v>1581861</v>
      </c>
      <c r="AH169" s="38">
        <v>4156063</v>
      </c>
      <c r="AI169" s="38">
        <v>1552462</v>
      </c>
      <c r="AJ169" s="38">
        <v>39355</v>
      </c>
      <c r="AK169" s="26">
        <f t="shared" si="11"/>
        <v>117270940</v>
      </c>
      <c r="AL169" s="38">
        <v>57033560</v>
      </c>
      <c r="AM169" s="38">
        <v>0</v>
      </c>
      <c r="AN169" s="38">
        <v>43922864</v>
      </c>
      <c r="AO169" s="38">
        <v>791918</v>
      </c>
      <c r="AP169" s="38">
        <v>37855</v>
      </c>
      <c r="AQ169" s="38">
        <v>0</v>
      </c>
      <c r="AR169" s="38">
        <v>21485525</v>
      </c>
      <c r="AS169" s="26">
        <f t="shared" si="12"/>
        <v>123271722</v>
      </c>
      <c r="AT169" s="27">
        <f t="shared" si="13"/>
        <v>240542662</v>
      </c>
    </row>
    <row r="170" spans="1:46" ht="13.5" customHeight="1">
      <c r="A170" s="72" t="s">
        <v>74</v>
      </c>
      <c r="B170" s="77" t="s">
        <v>137</v>
      </c>
      <c r="C170" s="38">
        <v>1170064</v>
      </c>
      <c r="D170" s="38">
        <v>65479</v>
      </c>
      <c r="E170" s="38">
        <v>1831397</v>
      </c>
      <c r="F170" s="38">
        <v>1070524</v>
      </c>
      <c r="G170" s="38">
        <v>845742</v>
      </c>
      <c r="H170" s="38">
        <v>1187810</v>
      </c>
      <c r="I170" s="109">
        <v>4178057.7579749385</v>
      </c>
      <c r="J170" s="100">
        <v>8.2420250615096986</v>
      </c>
      <c r="K170" s="38">
        <v>684791</v>
      </c>
      <c r="L170" s="38">
        <v>1732784</v>
      </c>
      <c r="M170" s="38">
        <v>1829612</v>
      </c>
      <c r="N170" s="38">
        <v>2949714</v>
      </c>
      <c r="O170" s="38">
        <v>1708449</v>
      </c>
      <c r="P170" s="38">
        <v>2643984</v>
      </c>
      <c r="Q170" s="38">
        <v>3028415</v>
      </c>
      <c r="R170" s="38">
        <v>377441</v>
      </c>
      <c r="S170" s="38">
        <v>688620</v>
      </c>
      <c r="T170" s="38">
        <v>1513844</v>
      </c>
      <c r="U170" s="38">
        <v>716668</v>
      </c>
      <c r="V170" s="38">
        <v>4692734</v>
      </c>
      <c r="W170" s="38">
        <v>9394744</v>
      </c>
      <c r="X170" s="38">
        <v>2698034</v>
      </c>
      <c r="Y170" s="38">
        <v>3596568</v>
      </c>
      <c r="Z170" s="38">
        <v>2479141</v>
      </c>
      <c r="AA170" s="38">
        <v>42355592</v>
      </c>
      <c r="AB170" s="38">
        <v>21428865</v>
      </c>
      <c r="AC170" s="38">
        <v>3519114</v>
      </c>
      <c r="AD170" s="38">
        <v>1570014</v>
      </c>
      <c r="AE170" s="38">
        <v>4774938</v>
      </c>
      <c r="AF170" s="38">
        <v>3079717</v>
      </c>
      <c r="AG170" s="38">
        <v>4478359</v>
      </c>
      <c r="AH170" s="38">
        <v>1171943</v>
      </c>
      <c r="AI170" s="38">
        <v>1838555</v>
      </c>
      <c r="AJ170" s="38">
        <v>0</v>
      </c>
      <c r="AK170" s="26">
        <f t="shared" si="11"/>
        <v>135301722</v>
      </c>
      <c r="AL170" s="38">
        <v>94642976</v>
      </c>
      <c r="AM170" s="38">
        <v>149222</v>
      </c>
      <c r="AN170" s="38">
        <v>0</v>
      </c>
      <c r="AO170" s="38">
        <v>0</v>
      </c>
      <c r="AP170" s="38">
        <v>0</v>
      </c>
      <c r="AQ170" s="38">
        <v>0</v>
      </c>
      <c r="AR170" s="38">
        <v>9183457</v>
      </c>
      <c r="AS170" s="26">
        <f t="shared" si="12"/>
        <v>103975655</v>
      </c>
      <c r="AT170" s="27">
        <f t="shared" si="13"/>
        <v>239277377</v>
      </c>
    </row>
    <row r="171" spans="1:46" ht="13.5" customHeight="1">
      <c r="A171" s="72" t="s">
        <v>75</v>
      </c>
      <c r="B171" s="77" t="s">
        <v>76</v>
      </c>
      <c r="C171" s="38">
        <v>35782</v>
      </c>
      <c r="D171" s="38">
        <v>6525</v>
      </c>
      <c r="E171" s="38">
        <v>355125</v>
      </c>
      <c r="F171" s="38">
        <v>278962</v>
      </c>
      <c r="G171" s="38">
        <v>194301</v>
      </c>
      <c r="H171" s="38">
        <v>125920</v>
      </c>
      <c r="I171" s="109">
        <v>476380.07614957716</v>
      </c>
      <c r="J171" s="100">
        <v>0.92385042282568697</v>
      </c>
      <c r="K171" s="38">
        <v>68563</v>
      </c>
      <c r="L171" s="38">
        <v>208273</v>
      </c>
      <c r="M171" s="38">
        <v>211950</v>
      </c>
      <c r="N171" s="38">
        <v>350672</v>
      </c>
      <c r="O171" s="38">
        <v>334244</v>
      </c>
      <c r="P171" s="38">
        <v>210151</v>
      </c>
      <c r="Q171" s="38">
        <v>324469</v>
      </c>
      <c r="R171" s="38">
        <v>144474</v>
      </c>
      <c r="S171" s="38">
        <v>448306</v>
      </c>
      <c r="T171" s="38">
        <v>74004</v>
      </c>
      <c r="U171" s="38">
        <v>540288</v>
      </c>
      <c r="V171" s="38">
        <v>533213</v>
      </c>
      <c r="W171" s="38">
        <v>19558837</v>
      </c>
      <c r="X171" s="38">
        <v>1784815</v>
      </c>
      <c r="Y171" s="38">
        <v>10709339</v>
      </c>
      <c r="Z171" s="38">
        <v>2207460</v>
      </c>
      <c r="AA171" s="38">
        <v>3792337</v>
      </c>
      <c r="AB171" s="38">
        <v>7890746</v>
      </c>
      <c r="AC171" s="38">
        <v>9191886</v>
      </c>
      <c r="AD171" s="38">
        <v>2186463</v>
      </c>
      <c r="AE171" s="38">
        <v>1163421</v>
      </c>
      <c r="AF171" s="38">
        <v>3880427</v>
      </c>
      <c r="AG171" s="38">
        <v>4078970</v>
      </c>
      <c r="AH171" s="38">
        <v>633246</v>
      </c>
      <c r="AI171" s="38">
        <v>1824621</v>
      </c>
      <c r="AJ171" s="38">
        <v>3335</v>
      </c>
      <c r="AK171" s="26">
        <f t="shared" si="11"/>
        <v>73827506</v>
      </c>
      <c r="AL171" s="38">
        <v>153308641</v>
      </c>
      <c r="AM171" s="38">
        <v>0</v>
      </c>
      <c r="AN171" s="38">
        <v>45947699</v>
      </c>
      <c r="AO171" s="38">
        <v>16733</v>
      </c>
      <c r="AP171" s="38">
        <v>0</v>
      </c>
      <c r="AQ171" s="38">
        <v>0</v>
      </c>
      <c r="AR171" s="38">
        <v>321254</v>
      </c>
      <c r="AS171" s="26">
        <f t="shared" si="12"/>
        <v>199594327</v>
      </c>
      <c r="AT171" s="27">
        <f t="shared" si="13"/>
        <v>273421833</v>
      </c>
    </row>
    <row r="172" spans="1:46" ht="13.5" customHeight="1">
      <c r="A172" s="72" t="s">
        <v>77</v>
      </c>
      <c r="B172" s="77" t="s">
        <v>43</v>
      </c>
      <c r="C172" s="38">
        <v>1230473</v>
      </c>
      <c r="D172" s="38">
        <v>257566</v>
      </c>
      <c r="E172" s="38">
        <v>9618973</v>
      </c>
      <c r="F172" s="38">
        <v>1881685</v>
      </c>
      <c r="G172" s="38">
        <v>1682908</v>
      </c>
      <c r="H172" s="38">
        <v>3511875</v>
      </c>
      <c r="I172" s="109">
        <v>18948019.070464</v>
      </c>
      <c r="J172" s="100">
        <v>33.929535998560318</v>
      </c>
      <c r="K172" s="38">
        <v>2179447</v>
      </c>
      <c r="L172" s="38">
        <v>7371240</v>
      </c>
      <c r="M172" s="38">
        <v>4295878</v>
      </c>
      <c r="N172" s="38">
        <v>11626563</v>
      </c>
      <c r="O172" s="38">
        <v>6823690</v>
      </c>
      <c r="P172" s="38">
        <v>7505694</v>
      </c>
      <c r="Q172" s="38">
        <v>12591254</v>
      </c>
      <c r="R172" s="38">
        <v>1360367</v>
      </c>
      <c r="S172" s="38">
        <v>3805291</v>
      </c>
      <c r="T172" s="38">
        <v>2280424</v>
      </c>
      <c r="U172" s="38">
        <v>2936927</v>
      </c>
      <c r="V172" s="38">
        <v>28622476</v>
      </c>
      <c r="W172" s="38">
        <v>22823766</v>
      </c>
      <c r="X172" s="38">
        <v>7912817</v>
      </c>
      <c r="Y172" s="38">
        <v>5094884</v>
      </c>
      <c r="Z172" s="38">
        <v>14986875</v>
      </c>
      <c r="AA172" s="38">
        <v>6840647</v>
      </c>
      <c r="AB172" s="38">
        <v>4227609</v>
      </c>
      <c r="AC172" s="38">
        <v>24810456</v>
      </c>
      <c r="AD172" s="38">
        <v>6999656</v>
      </c>
      <c r="AE172" s="38">
        <v>3481462</v>
      </c>
      <c r="AF172" s="38">
        <v>4600680</v>
      </c>
      <c r="AG172" s="38">
        <v>1629722</v>
      </c>
      <c r="AH172" s="38">
        <v>1508855</v>
      </c>
      <c r="AI172" s="38">
        <v>2418433</v>
      </c>
      <c r="AJ172" s="38">
        <v>7349</v>
      </c>
      <c r="AK172" s="26">
        <f t="shared" si="11"/>
        <v>235873995</v>
      </c>
      <c r="AL172" s="38">
        <v>6460233</v>
      </c>
      <c r="AM172" s="38">
        <v>0</v>
      </c>
      <c r="AN172" s="38">
        <v>104012843</v>
      </c>
      <c r="AO172" s="38">
        <v>15365704</v>
      </c>
      <c r="AP172" s="38">
        <v>0</v>
      </c>
      <c r="AQ172" s="38">
        <v>0</v>
      </c>
      <c r="AR172" s="38">
        <v>31221303</v>
      </c>
      <c r="AS172" s="26">
        <f t="shared" si="12"/>
        <v>157060083</v>
      </c>
      <c r="AT172" s="27">
        <f t="shared" si="13"/>
        <v>392934078</v>
      </c>
    </row>
    <row r="173" spans="1:46" ht="13.5" customHeight="1">
      <c r="A173" s="72" t="s">
        <v>78</v>
      </c>
      <c r="B173" s="77" t="s">
        <v>18</v>
      </c>
      <c r="C173" s="38">
        <v>232607</v>
      </c>
      <c r="D173" s="38">
        <v>256192</v>
      </c>
      <c r="E173" s="38">
        <v>888725</v>
      </c>
      <c r="F173" s="38">
        <v>524167</v>
      </c>
      <c r="G173" s="38">
        <v>659457</v>
      </c>
      <c r="H173" s="38">
        <v>811324</v>
      </c>
      <c r="I173" s="109">
        <v>1947728.7934108675</v>
      </c>
      <c r="J173" s="100">
        <v>3.2065891325232885</v>
      </c>
      <c r="K173" s="38">
        <v>341697</v>
      </c>
      <c r="L173" s="38">
        <v>2356312</v>
      </c>
      <c r="M173" s="38">
        <v>1409721</v>
      </c>
      <c r="N173" s="38">
        <v>2786694</v>
      </c>
      <c r="O173" s="38">
        <v>1013169</v>
      </c>
      <c r="P173" s="38">
        <v>895704</v>
      </c>
      <c r="Q173" s="38">
        <v>4645446</v>
      </c>
      <c r="R173" s="38">
        <v>216223</v>
      </c>
      <c r="S173" s="38">
        <v>4217670</v>
      </c>
      <c r="T173" s="38">
        <v>1358339</v>
      </c>
      <c r="U173" s="38">
        <v>1595665</v>
      </c>
      <c r="V173" s="38">
        <v>9747820</v>
      </c>
      <c r="W173" s="38">
        <v>13062215</v>
      </c>
      <c r="X173" s="38">
        <v>12267348</v>
      </c>
      <c r="Y173" s="38">
        <v>1916900</v>
      </c>
      <c r="Z173" s="38">
        <v>9694849</v>
      </c>
      <c r="AA173" s="38">
        <v>9964464</v>
      </c>
      <c r="AB173" s="38">
        <v>12003595</v>
      </c>
      <c r="AC173" s="38">
        <v>17187438</v>
      </c>
      <c r="AD173" s="38">
        <v>12801755</v>
      </c>
      <c r="AE173" s="38">
        <v>5960451</v>
      </c>
      <c r="AF173" s="38">
        <v>3886241</v>
      </c>
      <c r="AG173" s="38">
        <v>3157354</v>
      </c>
      <c r="AH173" s="38">
        <v>3473401</v>
      </c>
      <c r="AI173" s="38">
        <v>928798</v>
      </c>
      <c r="AJ173" s="38">
        <v>5248</v>
      </c>
      <c r="AK173" s="26">
        <f t="shared" si="11"/>
        <v>142214721</v>
      </c>
      <c r="AL173" s="38">
        <v>8531599</v>
      </c>
      <c r="AM173" s="38">
        <v>0</v>
      </c>
      <c r="AN173" s="38">
        <v>0</v>
      </c>
      <c r="AO173" s="38">
        <v>0</v>
      </c>
      <c r="AP173" s="38">
        <v>0</v>
      </c>
      <c r="AQ173" s="38">
        <v>0</v>
      </c>
      <c r="AR173" s="38">
        <v>15690205</v>
      </c>
      <c r="AS173" s="26">
        <f t="shared" si="12"/>
        <v>24221804</v>
      </c>
      <c r="AT173" s="27">
        <f t="shared" si="13"/>
        <v>166436525</v>
      </c>
    </row>
    <row r="174" spans="1:46" ht="13.5" customHeight="1">
      <c r="A174" s="72" t="s">
        <v>79</v>
      </c>
      <c r="B174" s="77" t="s">
        <v>80</v>
      </c>
      <c r="C174" s="38">
        <v>109126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109">
        <v>0</v>
      </c>
      <c r="J174" s="100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658474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  <c r="AF174" s="38">
        <v>0</v>
      </c>
      <c r="AG174" s="38">
        <v>0</v>
      </c>
      <c r="AH174" s="38">
        <v>0</v>
      </c>
      <c r="AI174" s="38">
        <v>0</v>
      </c>
      <c r="AJ174" s="38">
        <v>4326091</v>
      </c>
      <c r="AK174" s="26">
        <f t="shared" si="11"/>
        <v>5093691</v>
      </c>
      <c r="AL174" s="38">
        <v>4098405</v>
      </c>
      <c r="AM174" s="38">
        <v>193826946</v>
      </c>
      <c r="AN174" s="38">
        <v>0</v>
      </c>
      <c r="AO174" s="38">
        <v>0</v>
      </c>
      <c r="AP174" s="38">
        <v>0</v>
      </c>
      <c r="AQ174" s="38">
        <v>0</v>
      </c>
      <c r="AR174" s="38">
        <v>34003</v>
      </c>
      <c r="AS174" s="26">
        <f t="shared" si="12"/>
        <v>197959354</v>
      </c>
      <c r="AT174" s="27">
        <f t="shared" si="13"/>
        <v>203053045</v>
      </c>
    </row>
    <row r="175" spans="1:46" ht="13.5" customHeight="1">
      <c r="A175" s="72" t="s">
        <v>81</v>
      </c>
      <c r="B175" s="77" t="s">
        <v>19</v>
      </c>
      <c r="C175" s="38">
        <v>3254</v>
      </c>
      <c r="D175" s="38">
        <v>1120</v>
      </c>
      <c r="E175" s="38">
        <v>41844</v>
      </c>
      <c r="F175" s="38">
        <v>10830</v>
      </c>
      <c r="G175" s="38">
        <v>22754</v>
      </c>
      <c r="H175" s="38">
        <v>31935</v>
      </c>
      <c r="I175" s="109">
        <v>135395.72764472605</v>
      </c>
      <c r="J175" s="100">
        <v>0.27235527395391201</v>
      </c>
      <c r="K175" s="38">
        <v>20017</v>
      </c>
      <c r="L175" s="38">
        <v>81546</v>
      </c>
      <c r="M175" s="38">
        <v>107012</v>
      </c>
      <c r="N175" s="38">
        <v>83896</v>
      </c>
      <c r="O175" s="38">
        <v>77682</v>
      </c>
      <c r="P175" s="38">
        <v>102937</v>
      </c>
      <c r="Q175" s="38">
        <v>65511</v>
      </c>
      <c r="R175" s="38">
        <v>4493</v>
      </c>
      <c r="S175" s="38">
        <v>252388</v>
      </c>
      <c r="T175" s="38">
        <v>25845</v>
      </c>
      <c r="U175" s="38">
        <v>25311</v>
      </c>
      <c r="V175" s="38">
        <v>73874</v>
      </c>
      <c r="W175" s="38">
        <v>864077</v>
      </c>
      <c r="X175" s="38">
        <v>69496</v>
      </c>
      <c r="Y175" s="38">
        <v>93517</v>
      </c>
      <c r="Z175" s="38">
        <v>149972</v>
      </c>
      <c r="AA175" s="38">
        <v>339905</v>
      </c>
      <c r="AB175" s="38">
        <v>184460</v>
      </c>
      <c r="AC175" s="38">
        <v>421279</v>
      </c>
      <c r="AD175" s="38">
        <v>83397</v>
      </c>
      <c r="AE175" s="38">
        <v>15198</v>
      </c>
      <c r="AF175" s="38">
        <v>76153</v>
      </c>
      <c r="AG175" s="38">
        <v>24040</v>
      </c>
      <c r="AH175" s="38">
        <v>21001</v>
      </c>
      <c r="AI175" s="38">
        <v>93883</v>
      </c>
      <c r="AJ175" s="38">
        <v>676</v>
      </c>
      <c r="AK175" s="26">
        <f t="shared" si="11"/>
        <v>3604699</v>
      </c>
      <c r="AL175" s="38">
        <v>63476835</v>
      </c>
      <c r="AM175" s="38">
        <v>89090202</v>
      </c>
      <c r="AN175" s="38">
        <v>0</v>
      </c>
      <c r="AO175" s="38">
        <v>0</v>
      </c>
      <c r="AP175" s="38">
        <v>0</v>
      </c>
      <c r="AQ175" s="38">
        <v>0</v>
      </c>
      <c r="AR175" s="38">
        <v>319935</v>
      </c>
      <c r="AS175" s="26">
        <f t="shared" si="12"/>
        <v>152886972</v>
      </c>
      <c r="AT175" s="27">
        <f t="shared" si="13"/>
        <v>156491671</v>
      </c>
    </row>
    <row r="176" spans="1:46" ht="13.5" customHeight="1">
      <c r="A176" s="72" t="s">
        <v>82</v>
      </c>
      <c r="B176" s="77" t="s">
        <v>138</v>
      </c>
      <c r="C176" s="38">
        <v>84351</v>
      </c>
      <c r="D176" s="38">
        <v>14497</v>
      </c>
      <c r="E176" s="38">
        <v>128422</v>
      </c>
      <c r="F176" s="38">
        <v>54243</v>
      </c>
      <c r="G176" s="38">
        <v>69491</v>
      </c>
      <c r="H176" s="38">
        <v>32427</v>
      </c>
      <c r="I176" s="109">
        <v>217064.56313469395</v>
      </c>
      <c r="J176" s="100">
        <v>0.43686530604696766</v>
      </c>
      <c r="K176" s="38">
        <v>42381</v>
      </c>
      <c r="L176" s="38">
        <v>112512</v>
      </c>
      <c r="M176" s="38">
        <v>173400</v>
      </c>
      <c r="N176" s="38">
        <v>151296</v>
      </c>
      <c r="O176" s="38">
        <v>118630</v>
      </c>
      <c r="P176" s="38">
        <v>214771</v>
      </c>
      <c r="Q176" s="38">
        <v>276179</v>
      </c>
      <c r="R176" s="38">
        <v>30648</v>
      </c>
      <c r="S176" s="38">
        <v>207648</v>
      </c>
      <c r="T176" s="38">
        <v>36827</v>
      </c>
      <c r="U176" s="38">
        <v>141683</v>
      </c>
      <c r="V176" s="38">
        <v>396109</v>
      </c>
      <c r="W176" s="38">
        <v>1295505</v>
      </c>
      <c r="X176" s="38">
        <v>149288</v>
      </c>
      <c r="Y176" s="38">
        <v>490823</v>
      </c>
      <c r="Z176" s="38">
        <v>305107</v>
      </c>
      <c r="AA176" s="38">
        <v>427331</v>
      </c>
      <c r="AB176" s="38">
        <v>224359</v>
      </c>
      <c r="AC176" s="38">
        <v>779138</v>
      </c>
      <c r="AD176" s="38">
        <v>272949</v>
      </c>
      <c r="AE176" s="38">
        <v>74029</v>
      </c>
      <c r="AF176" s="38">
        <v>294134</v>
      </c>
      <c r="AG176" s="38">
        <v>548317</v>
      </c>
      <c r="AH176" s="38">
        <v>203582</v>
      </c>
      <c r="AI176" s="38">
        <v>166511</v>
      </c>
      <c r="AJ176" s="38">
        <v>853</v>
      </c>
      <c r="AK176" s="26">
        <f t="shared" si="11"/>
        <v>7734506</v>
      </c>
      <c r="AL176" s="38">
        <v>74155571</v>
      </c>
      <c r="AM176" s="38">
        <v>136924224</v>
      </c>
      <c r="AN176" s="38">
        <v>0</v>
      </c>
      <c r="AO176" s="38">
        <v>0</v>
      </c>
      <c r="AP176" s="38">
        <v>0</v>
      </c>
      <c r="AQ176" s="38">
        <v>0</v>
      </c>
      <c r="AR176" s="38">
        <v>766926</v>
      </c>
      <c r="AS176" s="26">
        <f t="shared" si="12"/>
        <v>211846721</v>
      </c>
      <c r="AT176" s="27">
        <f t="shared" si="13"/>
        <v>219581227</v>
      </c>
    </row>
    <row r="177" spans="1:46" ht="13.5" customHeight="1">
      <c r="A177" s="72" t="s">
        <v>84</v>
      </c>
      <c r="B177" s="77" t="s">
        <v>85</v>
      </c>
      <c r="C177" s="38">
        <v>65624</v>
      </c>
      <c r="D177" s="38">
        <v>36520</v>
      </c>
      <c r="E177" s="38">
        <v>133790</v>
      </c>
      <c r="F177" s="38">
        <v>96597</v>
      </c>
      <c r="G177" s="38">
        <v>97174</v>
      </c>
      <c r="H177" s="38">
        <v>65952</v>
      </c>
      <c r="I177" s="109">
        <v>329183.34044840804</v>
      </c>
      <c r="J177" s="100">
        <v>0.65955159196534607</v>
      </c>
      <c r="K177" s="38">
        <v>64236</v>
      </c>
      <c r="L177" s="38">
        <v>260337</v>
      </c>
      <c r="M177" s="38">
        <v>250041</v>
      </c>
      <c r="N177" s="38">
        <v>128017</v>
      </c>
      <c r="O177" s="38">
        <v>127452</v>
      </c>
      <c r="P177" s="38">
        <v>225010</v>
      </c>
      <c r="Q177" s="38">
        <v>112948</v>
      </c>
      <c r="R177" s="38">
        <v>33023</v>
      </c>
      <c r="S177" s="38">
        <v>270400</v>
      </c>
      <c r="T177" s="38">
        <v>55450</v>
      </c>
      <c r="U177" s="38">
        <v>123625</v>
      </c>
      <c r="V177" s="38">
        <v>262368</v>
      </c>
      <c r="W177" s="38">
        <v>388876</v>
      </c>
      <c r="X177" s="38">
        <v>637782</v>
      </c>
      <c r="Y177" s="38">
        <v>136211</v>
      </c>
      <c r="Z177" s="38">
        <v>2065257</v>
      </c>
      <c r="AA177" s="38">
        <v>623398</v>
      </c>
      <c r="AB177" s="38">
        <v>269687</v>
      </c>
      <c r="AC177" s="38">
        <v>1931388</v>
      </c>
      <c r="AD177" s="38">
        <v>535378</v>
      </c>
      <c r="AE177" s="38">
        <v>166633</v>
      </c>
      <c r="AF177" s="38">
        <v>1103277</v>
      </c>
      <c r="AG177" s="38">
        <v>340119</v>
      </c>
      <c r="AH177" s="38">
        <v>2691433</v>
      </c>
      <c r="AI177" s="38">
        <v>369181</v>
      </c>
      <c r="AJ177" s="38">
        <v>1604</v>
      </c>
      <c r="AK177" s="26">
        <f t="shared" si="11"/>
        <v>13997972</v>
      </c>
      <c r="AL177" s="38">
        <v>46878460</v>
      </c>
      <c r="AM177" s="38">
        <v>4781313</v>
      </c>
      <c r="AN177" s="38">
        <v>1094342</v>
      </c>
      <c r="AO177" s="38">
        <v>0</v>
      </c>
      <c r="AP177" s="38">
        <v>0</v>
      </c>
      <c r="AQ177" s="38">
        <v>1272</v>
      </c>
      <c r="AR177" s="38">
        <v>2880068</v>
      </c>
      <c r="AS177" s="26">
        <f t="shared" si="12"/>
        <v>55635455</v>
      </c>
      <c r="AT177" s="27">
        <f t="shared" si="13"/>
        <v>69633427</v>
      </c>
    </row>
    <row r="178" spans="1:46" ht="13.5" customHeight="1">
      <c r="A178" s="72" t="s">
        <v>86</v>
      </c>
      <c r="B178" s="77" t="s">
        <v>87</v>
      </c>
      <c r="C178" s="38">
        <v>99840</v>
      </c>
      <c r="D178" s="38">
        <v>31140</v>
      </c>
      <c r="E178" s="38">
        <v>298331</v>
      </c>
      <c r="F178" s="38">
        <v>102590</v>
      </c>
      <c r="G178" s="38">
        <v>112019</v>
      </c>
      <c r="H178" s="38">
        <v>149736</v>
      </c>
      <c r="I178" s="109">
        <v>383962.30497832235</v>
      </c>
      <c r="J178" s="100">
        <v>0.69502167767134082</v>
      </c>
      <c r="K178" s="38">
        <v>138133</v>
      </c>
      <c r="L178" s="38">
        <v>363796</v>
      </c>
      <c r="M178" s="38">
        <v>358040</v>
      </c>
      <c r="N178" s="38">
        <v>430903</v>
      </c>
      <c r="O178" s="38">
        <v>295152</v>
      </c>
      <c r="P178" s="38">
        <v>412933</v>
      </c>
      <c r="Q178" s="38">
        <v>351127</v>
      </c>
      <c r="R178" s="38">
        <v>37455</v>
      </c>
      <c r="S178" s="38">
        <v>625262</v>
      </c>
      <c r="T178" s="38">
        <v>66845</v>
      </c>
      <c r="U178" s="38">
        <v>363837</v>
      </c>
      <c r="V178" s="38">
        <v>595101</v>
      </c>
      <c r="W178" s="38">
        <v>3558930</v>
      </c>
      <c r="X178" s="38">
        <v>3307975</v>
      </c>
      <c r="Y178" s="38">
        <v>647051</v>
      </c>
      <c r="Z178" s="38">
        <v>731847</v>
      </c>
      <c r="AA178" s="38">
        <v>931008</v>
      </c>
      <c r="AB178" s="38">
        <v>440411</v>
      </c>
      <c r="AC178" s="38">
        <v>2658213</v>
      </c>
      <c r="AD178" s="38">
        <v>1459730</v>
      </c>
      <c r="AE178" s="38">
        <v>355554</v>
      </c>
      <c r="AF178" s="38">
        <v>1314276</v>
      </c>
      <c r="AG178" s="38">
        <v>438915</v>
      </c>
      <c r="AH178" s="38">
        <v>521658</v>
      </c>
      <c r="AI178" s="38">
        <v>630784</v>
      </c>
      <c r="AJ178" s="38">
        <v>843</v>
      </c>
      <c r="AK178" s="26">
        <f t="shared" si="11"/>
        <v>22213398</v>
      </c>
      <c r="AL178" s="38">
        <v>59295383</v>
      </c>
      <c r="AM178" s="38">
        <v>0</v>
      </c>
      <c r="AN178" s="38">
        <v>0</v>
      </c>
      <c r="AO178" s="38">
        <v>0</v>
      </c>
      <c r="AP178" s="38">
        <v>0</v>
      </c>
      <c r="AQ178" s="38">
        <v>0</v>
      </c>
      <c r="AR178" s="38">
        <v>1747533</v>
      </c>
      <c r="AS178" s="26">
        <f t="shared" si="12"/>
        <v>61042916</v>
      </c>
      <c r="AT178" s="27">
        <f t="shared" si="13"/>
        <v>83256314</v>
      </c>
    </row>
    <row r="179" spans="1:46" ht="13.5" customHeight="1">
      <c r="A179" s="72" t="s">
        <v>88</v>
      </c>
      <c r="B179" s="77" t="s">
        <v>89</v>
      </c>
      <c r="C179" s="38">
        <v>269414</v>
      </c>
      <c r="D179" s="38">
        <v>15963</v>
      </c>
      <c r="E179" s="38">
        <v>83286</v>
      </c>
      <c r="F179" s="38">
        <v>18483</v>
      </c>
      <c r="G179" s="38">
        <v>75392</v>
      </c>
      <c r="H179" s="38">
        <v>137738</v>
      </c>
      <c r="I179" s="109">
        <v>792650.40470753657</v>
      </c>
      <c r="J179" s="100">
        <v>1.5952924634037782</v>
      </c>
      <c r="K179" s="38">
        <v>23147</v>
      </c>
      <c r="L179" s="38">
        <v>42575</v>
      </c>
      <c r="M179" s="38">
        <v>131618</v>
      </c>
      <c r="N179" s="38">
        <v>63701</v>
      </c>
      <c r="O179" s="38">
        <v>54728</v>
      </c>
      <c r="P179" s="38">
        <v>91336</v>
      </c>
      <c r="Q179" s="38">
        <v>23958</v>
      </c>
      <c r="R179" s="38">
        <v>18948</v>
      </c>
      <c r="S179" s="38">
        <v>433554</v>
      </c>
      <c r="T179" s="38">
        <v>142445</v>
      </c>
      <c r="U179" s="38">
        <v>40948</v>
      </c>
      <c r="V179" s="38">
        <v>32265</v>
      </c>
      <c r="W179" s="38">
        <v>492128</v>
      </c>
      <c r="X179" s="38">
        <v>55217</v>
      </c>
      <c r="Y179" s="38">
        <v>250478</v>
      </c>
      <c r="Z179" s="38">
        <v>428335</v>
      </c>
      <c r="AA179" s="38">
        <v>58639</v>
      </c>
      <c r="AB179" s="38">
        <v>537173</v>
      </c>
      <c r="AC179" s="38">
        <v>239556</v>
      </c>
      <c r="AD179" s="38">
        <v>179839</v>
      </c>
      <c r="AE179" s="38">
        <v>45902</v>
      </c>
      <c r="AF179" s="38">
        <v>36693</v>
      </c>
      <c r="AG179" s="38">
        <v>373801</v>
      </c>
      <c r="AH179" s="38">
        <v>101652</v>
      </c>
      <c r="AI179" s="38">
        <v>54194</v>
      </c>
      <c r="AJ179" s="38">
        <v>109679</v>
      </c>
      <c r="AK179" s="26">
        <f t="shared" si="11"/>
        <v>5455437</v>
      </c>
      <c r="AL179" s="38">
        <v>-435478</v>
      </c>
      <c r="AM179" s="38">
        <v>0</v>
      </c>
      <c r="AN179" s="38">
        <v>0</v>
      </c>
      <c r="AO179" s="38">
        <v>0</v>
      </c>
      <c r="AP179" s="38">
        <v>0</v>
      </c>
      <c r="AQ179" s="38">
        <v>0</v>
      </c>
      <c r="AR179" s="38">
        <v>0</v>
      </c>
      <c r="AS179" s="26">
        <f t="shared" si="12"/>
        <v>-435478</v>
      </c>
      <c r="AT179" s="27">
        <f t="shared" si="13"/>
        <v>5019959</v>
      </c>
    </row>
    <row r="180" spans="1:46" ht="13.5" customHeight="1">
      <c r="A180" s="91" t="s">
        <v>91</v>
      </c>
      <c r="B180" s="92" t="s">
        <v>20</v>
      </c>
      <c r="C180" s="40">
        <f>SUM(C146:C179)</f>
        <v>39166528</v>
      </c>
      <c r="D180" s="40">
        <f t="shared" ref="D180:AT180" si="15">SUM(D146:D179)</f>
        <v>3169491</v>
      </c>
      <c r="E180" s="40">
        <f t="shared" si="15"/>
        <v>139457033</v>
      </c>
      <c r="F180" s="40">
        <f t="shared" si="15"/>
        <v>57298913</v>
      </c>
      <c r="G180" s="40">
        <f t="shared" si="15"/>
        <v>39700938</v>
      </c>
      <c r="H180" s="40">
        <f t="shared" si="15"/>
        <v>143573392</v>
      </c>
      <c r="I180" s="40">
        <f t="shared" si="15"/>
        <v>285565161.00003135</v>
      </c>
      <c r="J180" s="40">
        <f t="shared" si="15"/>
        <v>649.99996862992964</v>
      </c>
      <c r="K180" s="40">
        <f t="shared" si="15"/>
        <v>37404675</v>
      </c>
      <c r="L180" s="40">
        <f t="shared" si="15"/>
        <v>154477519</v>
      </c>
      <c r="M180" s="40">
        <f t="shared" si="15"/>
        <v>92011168</v>
      </c>
      <c r="N180" s="40">
        <f t="shared" si="15"/>
        <v>221737214</v>
      </c>
      <c r="O180" s="40">
        <f t="shared" si="15"/>
        <v>135088695</v>
      </c>
      <c r="P180" s="40">
        <f t="shared" si="15"/>
        <v>138660261</v>
      </c>
      <c r="Q180" s="40">
        <f t="shared" si="15"/>
        <v>269883451</v>
      </c>
      <c r="R180" s="40">
        <f t="shared" si="15"/>
        <v>21105797</v>
      </c>
      <c r="S180" s="40">
        <f t="shared" si="15"/>
        <v>51124252</v>
      </c>
      <c r="T180" s="40">
        <f t="shared" si="15"/>
        <v>120649253</v>
      </c>
      <c r="U180" s="40">
        <f t="shared" si="15"/>
        <v>23032194</v>
      </c>
      <c r="V180" s="40">
        <f t="shared" si="15"/>
        <v>199251516</v>
      </c>
      <c r="W180" s="40">
        <f t="shared" si="15"/>
        <v>184102011</v>
      </c>
      <c r="X180" s="40">
        <f t="shared" si="15"/>
        <v>125178243</v>
      </c>
      <c r="Y180" s="40">
        <f t="shared" si="15"/>
        <v>150662761</v>
      </c>
      <c r="Z180" s="40">
        <f t="shared" si="15"/>
        <v>104063290</v>
      </c>
      <c r="AA180" s="40">
        <f t="shared" si="15"/>
        <v>86678547</v>
      </c>
      <c r="AB180" s="40">
        <f t="shared" si="15"/>
        <v>81055631</v>
      </c>
      <c r="AC180" s="40">
        <f t="shared" si="15"/>
        <v>170997641</v>
      </c>
      <c r="AD180" s="40">
        <f t="shared" si="15"/>
        <v>56091961</v>
      </c>
      <c r="AE180" s="40">
        <f t="shared" si="15"/>
        <v>52243921</v>
      </c>
      <c r="AF180" s="40">
        <f t="shared" si="15"/>
        <v>51016928</v>
      </c>
      <c r="AG180" s="40">
        <f t="shared" si="15"/>
        <v>90583511</v>
      </c>
      <c r="AH180" s="40">
        <f t="shared" si="15"/>
        <v>28521048</v>
      </c>
      <c r="AI180" s="40">
        <f t="shared" si="15"/>
        <v>44847605</v>
      </c>
      <c r="AJ180" s="40">
        <f t="shared" si="15"/>
        <v>5019959</v>
      </c>
      <c r="AK180" s="26">
        <f t="shared" si="11"/>
        <v>3403421158</v>
      </c>
      <c r="AL180" s="40">
        <f t="shared" si="15"/>
        <v>1203106723</v>
      </c>
      <c r="AM180" s="40">
        <f t="shared" si="15"/>
        <v>428148599</v>
      </c>
      <c r="AN180" s="40">
        <f t="shared" si="15"/>
        <v>642719412</v>
      </c>
      <c r="AO180" s="40">
        <f t="shared" si="15"/>
        <v>114740934</v>
      </c>
      <c r="AP180" s="40">
        <f t="shared" si="15"/>
        <v>8456630</v>
      </c>
      <c r="AQ180" s="40">
        <f t="shared" si="15"/>
        <v>2242835</v>
      </c>
      <c r="AR180" s="40">
        <f t="shared" si="15"/>
        <v>999815735</v>
      </c>
      <c r="AS180" s="40">
        <f t="shared" si="15"/>
        <v>3399230868</v>
      </c>
      <c r="AT180" s="40">
        <f t="shared" si="15"/>
        <v>6802652026</v>
      </c>
    </row>
    <row r="181" spans="1:46" ht="13.5" customHeight="1">
      <c r="A181" s="95" t="s">
        <v>92</v>
      </c>
      <c r="B181" s="73" t="s">
        <v>21</v>
      </c>
      <c r="C181" s="38">
        <v>7311007</v>
      </c>
      <c r="D181" s="38">
        <v>763130</v>
      </c>
      <c r="E181" s="38">
        <v>15128140</v>
      </c>
      <c r="F181" s="38">
        <v>6942083</v>
      </c>
      <c r="G181" s="38">
        <v>7714470</v>
      </c>
      <c r="H181" s="38">
        <v>1849380</v>
      </c>
      <c r="I181" s="109">
        <v>33024739</v>
      </c>
      <c r="J181" s="100">
        <v>200</v>
      </c>
      <c r="K181" s="38">
        <v>5591739</v>
      </c>
      <c r="L181" s="38">
        <v>12874780</v>
      </c>
      <c r="M181" s="38">
        <v>22094377</v>
      </c>
      <c r="N181" s="38">
        <v>38330264</v>
      </c>
      <c r="O181" s="38">
        <v>18684449</v>
      </c>
      <c r="P181" s="38">
        <v>28417504</v>
      </c>
      <c r="Q181" s="38">
        <v>24629085</v>
      </c>
      <c r="R181" s="38">
        <v>4430442</v>
      </c>
      <c r="S181" s="38">
        <v>30392667</v>
      </c>
      <c r="T181" s="38">
        <v>7229124</v>
      </c>
      <c r="U181" s="38">
        <v>9301644</v>
      </c>
      <c r="V181" s="38">
        <v>108270135</v>
      </c>
      <c r="W181" s="38">
        <v>105848898</v>
      </c>
      <c r="X181" s="38">
        <v>45972783</v>
      </c>
      <c r="Y181" s="38">
        <v>37217436</v>
      </c>
      <c r="Z181" s="38">
        <v>48448668</v>
      </c>
      <c r="AA181" s="38">
        <v>52077047</v>
      </c>
      <c r="AB181" s="38">
        <v>23572589</v>
      </c>
      <c r="AC181" s="38">
        <v>119508944</v>
      </c>
      <c r="AD181" s="38">
        <v>53019085</v>
      </c>
      <c r="AE181" s="38">
        <v>89879718</v>
      </c>
      <c r="AF181" s="38">
        <v>84723533</v>
      </c>
      <c r="AG181" s="38">
        <v>91542475</v>
      </c>
      <c r="AH181" s="38">
        <v>14325783</v>
      </c>
      <c r="AI181" s="38">
        <v>21260262</v>
      </c>
      <c r="AJ181" s="38">
        <v>0</v>
      </c>
      <c r="AK181" s="26">
        <f t="shared" si="11"/>
        <v>1170376580</v>
      </c>
      <c r="AL181" s="29"/>
      <c r="AM181" s="29"/>
      <c r="AN181" s="29"/>
      <c r="AO181" s="29"/>
      <c r="AP181" s="29"/>
      <c r="AQ181" s="29"/>
      <c r="AR181" s="29"/>
      <c r="AS181" s="29"/>
      <c r="AT181" s="29"/>
    </row>
    <row r="182" spans="1:46" ht="13.5" customHeight="1">
      <c r="A182" s="95" t="s">
        <v>93</v>
      </c>
      <c r="B182" s="73" t="s">
        <v>22</v>
      </c>
      <c r="C182" s="38">
        <v>20790625</v>
      </c>
      <c r="D182" s="38">
        <v>907945</v>
      </c>
      <c r="E182" s="38">
        <v>6246706</v>
      </c>
      <c r="F182" s="38">
        <v>1230526</v>
      </c>
      <c r="G182" s="38">
        <v>5894202</v>
      </c>
      <c r="H182" s="38">
        <v>10160438</v>
      </c>
      <c r="I182" s="109">
        <v>26725352</v>
      </c>
      <c r="J182" s="100">
        <v>100</v>
      </c>
      <c r="K182" s="38">
        <v>2061144</v>
      </c>
      <c r="L182" s="38">
        <v>12662963</v>
      </c>
      <c r="M182" s="38">
        <v>15468441</v>
      </c>
      <c r="N182" s="38">
        <v>-2691522</v>
      </c>
      <c r="O182" s="38">
        <v>509104</v>
      </c>
      <c r="P182" s="38">
        <v>5170759</v>
      </c>
      <c r="Q182" s="38">
        <v>8332412</v>
      </c>
      <c r="R182" s="38">
        <v>1502834</v>
      </c>
      <c r="S182" s="38">
        <v>4585557</v>
      </c>
      <c r="T182" s="38">
        <v>-117531</v>
      </c>
      <c r="U182" s="38">
        <v>4067693</v>
      </c>
      <c r="V182" s="38">
        <v>6664903</v>
      </c>
      <c r="W182" s="38">
        <v>71028220</v>
      </c>
      <c r="X182" s="38">
        <v>16697450</v>
      </c>
      <c r="Y182" s="38">
        <v>17852378</v>
      </c>
      <c r="Z182" s="38">
        <v>24101295</v>
      </c>
      <c r="AA182" s="38">
        <v>68918948</v>
      </c>
      <c r="AB182" s="38">
        <v>64506524</v>
      </c>
      <c r="AC182" s="38">
        <v>32838525</v>
      </c>
      <c r="AD182" s="38">
        <v>24595921</v>
      </c>
      <c r="AE182" s="38">
        <v>0</v>
      </c>
      <c r="AF182" s="38">
        <v>5753379</v>
      </c>
      <c r="AG182" s="38">
        <v>22888082</v>
      </c>
      <c r="AH182" s="38">
        <v>8967271</v>
      </c>
      <c r="AI182" s="38">
        <v>7606932</v>
      </c>
      <c r="AJ182" s="38">
        <v>0</v>
      </c>
      <c r="AK182" s="26">
        <f t="shared" si="11"/>
        <v>495927576</v>
      </c>
      <c r="AL182" s="30"/>
      <c r="AM182" s="30"/>
      <c r="AN182" s="30"/>
      <c r="AO182" s="30"/>
      <c r="AP182" s="30"/>
      <c r="AQ182" s="30"/>
      <c r="AR182" s="30"/>
      <c r="AS182" s="30"/>
      <c r="AT182" s="30"/>
    </row>
    <row r="183" spans="1:46" ht="13.5" customHeight="1">
      <c r="A183" s="95" t="s">
        <v>94</v>
      </c>
      <c r="B183" s="73" t="s">
        <v>23</v>
      </c>
      <c r="C183" s="38">
        <v>6826925</v>
      </c>
      <c r="D183" s="38">
        <v>492826</v>
      </c>
      <c r="E183" s="38">
        <v>7184340</v>
      </c>
      <c r="F183" s="38">
        <v>2607552</v>
      </c>
      <c r="G183" s="38">
        <v>1594645</v>
      </c>
      <c r="H183" s="38">
        <v>3179003</v>
      </c>
      <c r="I183" s="109">
        <v>26775668</v>
      </c>
      <c r="J183" s="100">
        <v>50</v>
      </c>
      <c r="K183" s="38">
        <v>4858806</v>
      </c>
      <c r="L183" s="38">
        <v>10685788</v>
      </c>
      <c r="M183" s="38">
        <v>5299685</v>
      </c>
      <c r="N183" s="38">
        <v>59980214</v>
      </c>
      <c r="O183" s="38">
        <v>16524948</v>
      </c>
      <c r="P183" s="38">
        <v>11389415</v>
      </c>
      <c r="Q183" s="38">
        <v>27105345</v>
      </c>
      <c r="R183" s="38">
        <v>906543</v>
      </c>
      <c r="S183" s="38">
        <v>10150938</v>
      </c>
      <c r="T183" s="38">
        <v>20286757</v>
      </c>
      <c r="U183" s="38">
        <v>5288608</v>
      </c>
      <c r="V183" s="38">
        <v>6766250</v>
      </c>
      <c r="W183" s="38">
        <v>18105570</v>
      </c>
      <c r="X183" s="38">
        <v>36332814</v>
      </c>
      <c r="Y183" s="38">
        <v>5371797</v>
      </c>
      <c r="Z183" s="38">
        <v>35261097</v>
      </c>
      <c r="AA183" s="38">
        <v>12984833</v>
      </c>
      <c r="AB183" s="38">
        <v>69279349</v>
      </c>
      <c r="AC183" s="38">
        <v>28647148</v>
      </c>
      <c r="AD183" s="38">
        <v>7189528</v>
      </c>
      <c r="AE183" s="38">
        <v>60428502</v>
      </c>
      <c r="AF183" s="38">
        <v>12635621</v>
      </c>
      <c r="AG183" s="38">
        <v>13918268</v>
      </c>
      <c r="AH183" s="38">
        <v>6439170</v>
      </c>
      <c r="AI183" s="38">
        <v>4683288</v>
      </c>
      <c r="AJ183" s="38">
        <v>0</v>
      </c>
      <c r="AK183" s="26">
        <f t="shared" si="11"/>
        <v>539181291</v>
      </c>
      <c r="AL183" s="30"/>
      <c r="AM183" s="30"/>
      <c r="AN183" s="30"/>
      <c r="AO183" s="30"/>
      <c r="AP183" s="30"/>
      <c r="AQ183" s="30"/>
      <c r="AR183" s="30"/>
      <c r="AS183" s="30"/>
      <c r="AT183" s="30"/>
    </row>
    <row r="184" spans="1:46" ht="13.5" customHeight="1">
      <c r="A184" s="95" t="s">
        <v>95</v>
      </c>
      <c r="B184" s="73" t="s">
        <v>39</v>
      </c>
      <c r="C184" s="38">
        <v>-27016</v>
      </c>
      <c r="D184" s="38">
        <v>-6795</v>
      </c>
      <c r="E184" s="38">
        <v>14378726</v>
      </c>
      <c r="F184" s="38">
        <v>2081072</v>
      </c>
      <c r="G184" s="38">
        <v>1110431</v>
      </c>
      <c r="H184" s="38">
        <v>17800753</v>
      </c>
      <c r="I184" s="109">
        <v>4534298</v>
      </c>
      <c r="J184" s="100">
        <v>0</v>
      </c>
      <c r="K184" s="38">
        <v>911160</v>
      </c>
      <c r="L184" s="38">
        <v>1198062</v>
      </c>
      <c r="M184" s="38">
        <v>1425139</v>
      </c>
      <c r="N184" s="38">
        <v>2455564</v>
      </c>
      <c r="O184" s="38">
        <v>1946311</v>
      </c>
      <c r="P184" s="38">
        <v>1845434</v>
      </c>
      <c r="Q184" s="38">
        <v>7185378</v>
      </c>
      <c r="R184" s="38">
        <v>997653</v>
      </c>
      <c r="S184" s="38">
        <v>548886</v>
      </c>
      <c r="T184" s="38">
        <v>3631197</v>
      </c>
      <c r="U184" s="38">
        <v>108881</v>
      </c>
      <c r="V184" s="38">
        <v>21285495</v>
      </c>
      <c r="W184" s="38">
        <v>17403973</v>
      </c>
      <c r="X184" s="38">
        <v>-2966019</v>
      </c>
      <c r="Y184" s="38">
        <v>12631432</v>
      </c>
      <c r="Z184" s="38">
        <v>6428467</v>
      </c>
      <c r="AA184" s="38">
        <v>10283809</v>
      </c>
      <c r="AB184" s="38">
        <v>33396994</v>
      </c>
      <c r="AC184" s="38">
        <v>3703102</v>
      </c>
      <c r="AD184" s="38">
        <v>3414461</v>
      </c>
      <c r="AE184" s="38">
        <v>3508</v>
      </c>
      <c r="AF184" s="38">
        <v>209536</v>
      </c>
      <c r="AG184" s="38">
        <v>218867</v>
      </c>
      <c r="AH184" s="38">
        <v>6447347</v>
      </c>
      <c r="AI184" s="38">
        <v>3202028</v>
      </c>
      <c r="AJ184" s="38">
        <v>0</v>
      </c>
      <c r="AK184" s="26">
        <f t="shared" si="11"/>
        <v>177788134</v>
      </c>
      <c r="AL184" s="30"/>
      <c r="AM184" s="30"/>
      <c r="AN184" s="30"/>
      <c r="AO184" s="30"/>
      <c r="AP184" s="30"/>
      <c r="AQ184" s="30"/>
      <c r="AR184" s="30"/>
      <c r="AS184" s="30"/>
      <c r="AT184" s="30"/>
    </row>
    <row r="185" spans="1:46" ht="13.5" customHeight="1">
      <c r="A185" s="96" t="s">
        <v>96</v>
      </c>
      <c r="B185" s="97" t="s">
        <v>24</v>
      </c>
      <c r="C185" s="28">
        <f>SUM(C181:C184)</f>
        <v>34901541</v>
      </c>
      <c r="D185" s="28">
        <f t="shared" ref="D185:AJ185" si="16">SUM(D181:D184)</f>
        <v>2157106</v>
      </c>
      <c r="E185" s="28">
        <f t="shared" si="16"/>
        <v>42937912</v>
      </c>
      <c r="F185" s="28">
        <f t="shared" si="16"/>
        <v>12861233</v>
      </c>
      <c r="G185" s="28">
        <f t="shared" si="16"/>
        <v>16313748</v>
      </c>
      <c r="H185" s="28">
        <f t="shared" si="16"/>
        <v>32989574</v>
      </c>
      <c r="I185" s="28">
        <f t="shared" si="16"/>
        <v>91060057</v>
      </c>
      <c r="J185" s="28">
        <f t="shared" si="16"/>
        <v>350</v>
      </c>
      <c r="K185" s="28">
        <f t="shared" si="16"/>
        <v>13422849</v>
      </c>
      <c r="L185" s="28">
        <f t="shared" si="16"/>
        <v>37421593</v>
      </c>
      <c r="M185" s="28">
        <f t="shared" si="16"/>
        <v>44287642</v>
      </c>
      <c r="N185" s="28">
        <f t="shared" si="16"/>
        <v>98074520</v>
      </c>
      <c r="O185" s="28">
        <f t="shared" si="16"/>
        <v>37664812</v>
      </c>
      <c r="P185" s="28">
        <f t="shared" si="16"/>
        <v>46823112</v>
      </c>
      <c r="Q185" s="28">
        <f t="shared" si="16"/>
        <v>67252220</v>
      </c>
      <c r="R185" s="28">
        <f t="shared" si="16"/>
        <v>7837472</v>
      </c>
      <c r="S185" s="28">
        <f t="shared" si="16"/>
        <v>45678048</v>
      </c>
      <c r="T185" s="28">
        <f t="shared" si="16"/>
        <v>31029547</v>
      </c>
      <c r="U185" s="28">
        <f t="shared" si="16"/>
        <v>18766826</v>
      </c>
      <c r="V185" s="28">
        <f t="shared" si="16"/>
        <v>142986783</v>
      </c>
      <c r="W185" s="28">
        <f t="shared" si="16"/>
        <v>212386661</v>
      </c>
      <c r="X185" s="28">
        <f t="shared" si="16"/>
        <v>96037028</v>
      </c>
      <c r="Y185" s="28">
        <f t="shared" si="16"/>
        <v>73073043</v>
      </c>
      <c r="Z185" s="28">
        <f t="shared" si="16"/>
        <v>114239527</v>
      </c>
      <c r="AA185" s="28">
        <f t="shared" si="16"/>
        <v>144264637</v>
      </c>
      <c r="AB185" s="28">
        <f t="shared" si="16"/>
        <v>190755456</v>
      </c>
      <c r="AC185" s="28">
        <f t="shared" si="16"/>
        <v>184697719</v>
      </c>
      <c r="AD185" s="28">
        <f t="shared" si="16"/>
        <v>88218995</v>
      </c>
      <c r="AE185" s="28">
        <f t="shared" si="16"/>
        <v>150311728</v>
      </c>
      <c r="AF185" s="28">
        <f t="shared" si="16"/>
        <v>103322069</v>
      </c>
      <c r="AG185" s="28">
        <f t="shared" si="16"/>
        <v>128567692</v>
      </c>
      <c r="AH185" s="28">
        <f t="shared" si="16"/>
        <v>36179571</v>
      </c>
      <c r="AI185" s="28">
        <f t="shared" si="16"/>
        <v>36752510</v>
      </c>
      <c r="AJ185" s="28">
        <f t="shared" si="16"/>
        <v>0</v>
      </c>
      <c r="AK185" s="26">
        <f t="shared" si="11"/>
        <v>2383273581</v>
      </c>
      <c r="AL185" s="30"/>
      <c r="AM185" s="30"/>
      <c r="AN185" s="30"/>
      <c r="AO185" s="30"/>
      <c r="AP185" s="30"/>
      <c r="AQ185" s="30"/>
      <c r="AR185" s="30"/>
      <c r="AS185" s="30"/>
      <c r="AT185" s="30"/>
    </row>
    <row r="186" spans="1:46" ht="13.5" customHeight="1">
      <c r="A186" s="96" t="s">
        <v>97</v>
      </c>
      <c r="B186" s="97" t="s">
        <v>41</v>
      </c>
      <c r="C186" s="28">
        <f>C185+C180</f>
        <v>74068069</v>
      </c>
      <c r="D186" s="28">
        <f t="shared" ref="D186:AJ186" si="17">D185+D180</f>
        <v>5326597</v>
      </c>
      <c r="E186" s="28">
        <f t="shared" si="17"/>
        <v>182394945</v>
      </c>
      <c r="F186" s="28">
        <f t="shared" si="17"/>
        <v>70160146</v>
      </c>
      <c r="G186" s="28">
        <f t="shared" si="17"/>
        <v>56014686</v>
      </c>
      <c r="H186" s="28">
        <f t="shared" si="17"/>
        <v>176562966</v>
      </c>
      <c r="I186" s="28">
        <f t="shared" si="17"/>
        <v>376625218.00003135</v>
      </c>
      <c r="J186" s="28">
        <f t="shared" si="17"/>
        <v>999.99996862992964</v>
      </c>
      <c r="K186" s="28">
        <f t="shared" si="17"/>
        <v>50827524</v>
      </c>
      <c r="L186" s="28">
        <f t="shared" si="17"/>
        <v>191899112</v>
      </c>
      <c r="M186" s="28">
        <f t="shared" si="17"/>
        <v>136298810</v>
      </c>
      <c r="N186" s="28">
        <f t="shared" si="17"/>
        <v>319811734</v>
      </c>
      <c r="O186" s="28">
        <f t="shared" si="17"/>
        <v>172753507</v>
      </c>
      <c r="P186" s="28">
        <f t="shared" si="17"/>
        <v>185483373</v>
      </c>
      <c r="Q186" s="28">
        <f t="shared" si="17"/>
        <v>337135671</v>
      </c>
      <c r="R186" s="28">
        <f t="shared" si="17"/>
        <v>28943269</v>
      </c>
      <c r="S186" s="28">
        <f t="shared" si="17"/>
        <v>96802300</v>
      </c>
      <c r="T186" s="28">
        <f t="shared" si="17"/>
        <v>151678800</v>
      </c>
      <c r="U186" s="28">
        <f t="shared" si="17"/>
        <v>41799020</v>
      </c>
      <c r="V186" s="28">
        <f t="shared" si="17"/>
        <v>342238299</v>
      </c>
      <c r="W186" s="28">
        <f t="shared" si="17"/>
        <v>396488672</v>
      </c>
      <c r="X186" s="28">
        <f t="shared" si="17"/>
        <v>221215271</v>
      </c>
      <c r="Y186" s="28">
        <f t="shared" si="17"/>
        <v>223735804</v>
      </c>
      <c r="Z186" s="28">
        <f t="shared" si="17"/>
        <v>218302817</v>
      </c>
      <c r="AA186" s="28">
        <f t="shared" si="17"/>
        <v>230943184</v>
      </c>
      <c r="AB186" s="28">
        <f t="shared" si="17"/>
        <v>271811087</v>
      </c>
      <c r="AC186" s="28">
        <f t="shared" si="17"/>
        <v>355695360</v>
      </c>
      <c r="AD186" s="28">
        <f t="shared" si="17"/>
        <v>144310956</v>
      </c>
      <c r="AE186" s="28">
        <f t="shared" si="17"/>
        <v>202555649</v>
      </c>
      <c r="AF186" s="28">
        <f t="shared" si="17"/>
        <v>154338997</v>
      </c>
      <c r="AG186" s="28">
        <f t="shared" si="17"/>
        <v>219151203</v>
      </c>
      <c r="AH186" s="28">
        <f t="shared" si="17"/>
        <v>64700619</v>
      </c>
      <c r="AI186" s="28">
        <f t="shared" si="17"/>
        <v>81600115</v>
      </c>
      <c r="AJ186" s="28">
        <f t="shared" si="17"/>
        <v>5019959</v>
      </c>
      <c r="AK186" s="26">
        <f t="shared" si="11"/>
        <v>5786694739</v>
      </c>
      <c r="AL186" s="30"/>
      <c r="AM186" s="30"/>
      <c r="AN186" s="30"/>
      <c r="AO186" s="30"/>
      <c r="AP186" s="30"/>
      <c r="AQ186" s="30"/>
      <c r="AR186" s="30"/>
      <c r="AS186" s="30"/>
      <c r="AT186" s="30"/>
    </row>
  </sheetData>
  <mergeCells count="4">
    <mergeCell ref="A5:B6"/>
    <mergeCell ref="A51:B52"/>
    <mergeCell ref="A96:B97"/>
    <mergeCell ref="A144:B145"/>
  </mergeCells>
  <phoneticPr fontId="19" type="noConversion"/>
  <conditionalFormatting sqref="C1:AL1">
    <cfRule type="cellIs" dxfId="8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B865-3DCB-4292-A1C8-7B127047D7F2}">
  <sheetPr>
    <tabColor theme="5"/>
  </sheetPr>
  <dimension ref="A1:AV42"/>
  <sheetViews>
    <sheetView zoomScaleNormal="100" workbookViewId="0">
      <pane xSplit="2" ySplit="6" topLeftCell="AN11" activePane="bottomRight" state="frozen"/>
      <selection activeCell="A2" sqref="A2"/>
      <selection pane="topRight" activeCell="A2" sqref="A2"/>
      <selection pane="bottomLeft" activeCell="A2" sqref="A2"/>
      <selection pane="bottomRight" activeCell="AN14" sqref="AN14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8" width="18.625" style="1"/>
    <col min="9" max="10" width="18.625" style="115"/>
    <col min="11" max="43" width="18.625" style="1"/>
    <col min="44" max="44" width="18.625" style="55"/>
    <col min="45" max="16384" width="18.625" style="1"/>
  </cols>
  <sheetData>
    <row r="1" spans="1:48" ht="13.5" customHeight="1">
      <c r="C1" s="3"/>
      <c r="D1" s="3"/>
      <c r="E1" s="3"/>
      <c r="F1" s="3"/>
      <c r="G1" s="3"/>
      <c r="H1" s="3"/>
      <c r="I1" s="116"/>
      <c r="J1" s="11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L1" s="4"/>
      <c r="AO1" s="5"/>
      <c r="AR1" s="53"/>
    </row>
    <row r="2" spans="1:48" ht="13.5" customHeight="1">
      <c r="B2" s="12"/>
      <c r="C2" s="52"/>
      <c r="D2" s="13"/>
      <c r="E2" s="13"/>
      <c r="F2" s="13"/>
      <c r="G2" s="13"/>
      <c r="H2" s="13"/>
      <c r="I2" s="117"/>
      <c r="J2" s="117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54"/>
      <c r="AS2" s="13"/>
      <c r="AT2" s="13"/>
    </row>
    <row r="3" spans="1:48" ht="13.5" customHeight="1">
      <c r="B3" s="2"/>
    </row>
    <row r="4" spans="1:48" s="10" customFormat="1" ht="13.5" customHeight="1">
      <c r="A4" s="21"/>
      <c r="B4" s="15"/>
      <c r="I4" s="118"/>
      <c r="J4" s="118"/>
      <c r="AK4" s="1"/>
      <c r="AL4" s="50"/>
      <c r="AM4" s="50"/>
      <c r="AN4" s="50"/>
      <c r="AO4" s="50"/>
      <c r="AP4" s="50"/>
      <c r="AQ4" s="14"/>
      <c r="AR4" s="56"/>
      <c r="AS4" s="14"/>
    </row>
    <row r="5" spans="1:48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119" t="s">
        <v>50</v>
      </c>
      <c r="J5" s="119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  <c r="AL5" s="36" t="s">
        <v>99</v>
      </c>
      <c r="AM5" s="36" t="s">
        <v>100</v>
      </c>
      <c r="AN5" s="36" t="s">
        <v>101</v>
      </c>
      <c r="AO5" s="36" t="s">
        <v>102</v>
      </c>
      <c r="AP5" s="36" t="s">
        <v>103</v>
      </c>
      <c r="AQ5" s="36" t="s">
        <v>104</v>
      </c>
      <c r="AR5" s="57" t="s">
        <v>105</v>
      </c>
      <c r="AS5" s="43" t="s">
        <v>106</v>
      </c>
      <c r="AT5" s="43" t="s">
        <v>107</v>
      </c>
    </row>
    <row r="6" spans="1:48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120" t="s">
        <v>8</v>
      </c>
      <c r="J6" s="120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  <c r="AL6" s="49" t="s">
        <v>38</v>
      </c>
      <c r="AM6" s="20" t="s">
        <v>27</v>
      </c>
      <c r="AN6" s="20" t="s">
        <v>28</v>
      </c>
      <c r="AO6" s="20" t="s">
        <v>29</v>
      </c>
      <c r="AP6" s="20" t="s">
        <v>30</v>
      </c>
      <c r="AQ6" s="20" t="s">
        <v>31</v>
      </c>
      <c r="AR6" s="58" t="s">
        <v>32</v>
      </c>
      <c r="AS6" s="24" t="s">
        <v>33</v>
      </c>
      <c r="AT6" s="24" t="s">
        <v>34</v>
      </c>
    </row>
    <row r="7" spans="1:48" ht="13.5" customHeight="1">
      <c r="A7" s="44" t="s">
        <v>44</v>
      </c>
      <c r="B7" s="15" t="s">
        <v>2</v>
      </c>
      <c r="C7" s="38">
        <v>3770505</v>
      </c>
      <c r="D7" s="38">
        <v>3469</v>
      </c>
      <c r="E7" s="38">
        <v>34517696</v>
      </c>
      <c r="F7" s="38">
        <v>38677</v>
      </c>
      <c r="G7" s="38">
        <v>277682</v>
      </c>
      <c r="H7" s="38">
        <v>4203</v>
      </c>
      <c r="I7" s="109">
        <f>국산거래표_원본!I7-국산거래표_new!J7</f>
        <v>555662.53155981703</v>
      </c>
      <c r="J7" s="109">
        <f>IFERROR(국산거래표_원본!I7/'A표_총거래표(생산자)_원본'!I7*'A표_총거래표(생산자)_new'!J146,0)</f>
        <v>0.46844018298538226</v>
      </c>
      <c r="K7" s="38">
        <v>3614</v>
      </c>
      <c r="L7" s="38">
        <v>6461</v>
      </c>
      <c r="M7" s="38">
        <v>7383</v>
      </c>
      <c r="N7" s="38">
        <v>7338</v>
      </c>
      <c r="O7" s="38">
        <v>2082</v>
      </c>
      <c r="P7" s="38">
        <v>6967</v>
      </c>
      <c r="Q7" s="38">
        <v>2303</v>
      </c>
      <c r="R7" s="38">
        <v>12637</v>
      </c>
      <c r="S7" s="38">
        <v>536115</v>
      </c>
      <c r="T7" s="38">
        <v>3751</v>
      </c>
      <c r="U7" s="38">
        <v>12739</v>
      </c>
      <c r="V7" s="38">
        <v>363655</v>
      </c>
      <c r="W7" s="38">
        <v>101278</v>
      </c>
      <c r="X7" s="38">
        <v>13100</v>
      </c>
      <c r="Y7" s="38">
        <v>12633334</v>
      </c>
      <c r="Z7" s="38">
        <v>14422</v>
      </c>
      <c r="AA7" s="38">
        <v>11833</v>
      </c>
      <c r="AB7" s="38">
        <v>7087</v>
      </c>
      <c r="AC7" s="38">
        <v>68851</v>
      </c>
      <c r="AD7" s="38">
        <v>20544</v>
      </c>
      <c r="AE7" s="38">
        <v>314883</v>
      </c>
      <c r="AF7" s="38">
        <v>713174</v>
      </c>
      <c r="AG7" s="38">
        <v>800522</v>
      </c>
      <c r="AH7" s="38">
        <v>70580</v>
      </c>
      <c r="AI7" s="38">
        <v>72609</v>
      </c>
      <c r="AJ7" s="38">
        <v>3405</v>
      </c>
      <c r="AK7" s="26">
        <f>SUM(C7:AJ7)</f>
        <v>54978562</v>
      </c>
      <c r="AL7" s="38">
        <v>17086310</v>
      </c>
      <c r="AM7" s="38">
        <v>0</v>
      </c>
      <c r="AN7" s="38">
        <v>926994</v>
      </c>
      <c r="AO7" s="38">
        <v>683</v>
      </c>
      <c r="AP7" s="38">
        <v>-72696</v>
      </c>
      <c r="AQ7" s="38">
        <v>0</v>
      </c>
      <c r="AR7" s="59">
        <v>1148216</v>
      </c>
      <c r="AS7" s="27">
        <f>SUM(AL7:AR7)</f>
        <v>19089507</v>
      </c>
      <c r="AT7" s="26">
        <f>AK7+AS7</f>
        <v>74068069</v>
      </c>
      <c r="AU7" s="1">
        <v>74068069</v>
      </c>
      <c r="AV7" s="122">
        <f>AU7-AT7</f>
        <v>0</v>
      </c>
    </row>
    <row r="8" spans="1:48" ht="13.5" customHeight="1">
      <c r="A8" s="44" t="s">
        <v>45</v>
      </c>
      <c r="B8" s="15" t="s">
        <v>3</v>
      </c>
      <c r="C8" s="38">
        <v>2055</v>
      </c>
      <c r="D8" s="38">
        <v>2999</v>
      </c>
      <c r="E8" s="38">
        <v>41769</v>
      </c>
      <c r="F8" s="38">
        <v>2547</v>
      </c>
      <c r="G8" s="38">
        <v>11840</v>
      </c>
      <c r="H8" s="38">
        <v>112216</v>
      </c>
      <c r="I8" s="109">
        <f>국산거래표_원본!I8-국산거래표_new!J8</f>
        <v>373202.96770257043</v>
      </c>
      <c r="J8" s="109">
        <f>IFERROR(국산거래표_원본!I8/'A표_총거래표(생산자)_원본'!I8*'A표_총거래표(생산자)_new'!J147,0)</f>
        <v>3.2297429550957241E-2</v>
      </c>
      <c r="K8" s="38">
        <v>3949468</v>
      </c>
      <c r="L8" s="38">
        <v>229276</v>
      </c>
      <c r="M8" s="38">
        <v>35343</v>
      </c>
      <c r="N8" s="38">
        <v>34809</v>
      </c>
      <c r="O8" s="38">
        <v>6206</v>
      </c>
      <c r="P8" s="38">
        <v>13252</v>
      </c>
      <c r="Q8" s="38">
        <v>2213</v>
      </c>
      <c r="R8" s="38">
        <v>2564</v>
      </c>
      <c r="S8" s="38">
        <v>18236</v>
      </c>
      <c r="T8" s="38">
        <v>127358</v>
      </c>
      <c r="U8" s="38">
        <v>53587</v>
      </c>
      <c r="V8" s="38">
        <v>249151</v>
      </c>
      <c r="W8" s="38">
        <v>0</v>
      </c>
      <c r="X8" s="38">
        <v>0</v>
      </c>
      <c r="Y8" s="38">
        <v>12965</v>
      </c>
      <c r="Z8" s="38">
        <v>0</v>
      </c>
      <c r="AA8" s="38">
        <v>0</v>
      </c>
      <c r="AB8" s="38">
        <v>141</v>
      </c>
      <c r="AC8" s="38">
        <v>6011</v>
      </c>
      <c r="AD8" s="38">
        <v>13414</v>
      </c>
      <c r="AE8" s="38">
        <v>16750</v>
      </c>
      <c r="AF8" s="38">
        <v>1073</v>
      </c>
      <c r="AG8" s="38">
        <v>16722</v>
      </c>
      <c r="AH8" s="38">
        <v>2420</v>
      </c>
      <c r="AI8" s="38">
        <v>2421</v>
      </c>
      <c r="AJ8" s="38">
        <v>34</v>
      </c>
      <c r="AK8" s="26">
        <f t="shared" ref="AK8:AK41" si="0">SUM(C8:AJ8)</f>
        <v>5340043</v>
      </c>
      <c r="AL8" s="38">
        <v>5091</v>
      </c>
      <c r="AM8" s="38">
        <v>0</v>
      </c>
      <c r="AN8" s="38">
        <v>0</v>
      </c>
      <c r="AO8" s="38">
        <v>0</v>
      </c>
      <c r="AP8" s="38">
        <v>-183076</v>
      </c>
      <c r="AQ8" s="38">
        <v>0</v>
      </c>
      <c r="AR8" s="59">
        <v>164539</v>
      </c>
      <c r="AS8" s="27">
        <f t="shared" ref="AS8:AS40" si="1">SUM(AL8:AR8)</f>
        <v>-13446</v>
      </c>
      <c r="AT8" s="26">
        <f t="shared" ref="AT8:AT40" si="2">AK8+AS8</f>
        <v>5326597</v>
      </c>
      <c r="AU8" s="1">
        <v>5326597</v>
      </c>
      <c r="AV8" s="122">
        <f t="shared" ref="AV8:AV40" si="3">AU8-AT8</f>
        <v>0</v>
      </c>
    </row>
    <row r="9" spans="1:48" ht="13.5" customHeight="1">
      <c r="A9" s="44" t="s">
        <v>46</v>
      </c>
      <c r="B9" s="15" t="s">
        <v>4</v>
      </c>
      <c r="C9" s="38">
        <v>13273857</v>
      </c>
      <c r="D9" s="38">
        <v>16188</v>
      </c>
      <c r="E9" s="38">
        <v>23135036</v>
      </c>
      <c r="F9" s="38">
        <v>86468</v>
      </c>
      <c r="G9" s="38">
        <v>67764</v>
      </c>
      <c r="H9" s="38">
        <v>-9926</v>
      </c>
      <c r="I9" s="109">
        <f>국산거래표_원본!I9-국산거래표_new!J9</f>
        <v>1348689.1216302582</v>
      </c>
      <c r="J9" s="109">
        <f>IFERROR(국산거래표_원본!I9/'A표_총거래표(생산자)_원본'!I9*'A표_총거래표(생산자)_new'!J148,0)</f>
        <v>1.878369741808243</v>
      </c>
      <c r="K9" s="38">
        <v>32354</v>
      </c>
      <c r="L9" s="38">
        <v>78230</v>
      </c>
      <c r="M9" s="38">
        <v>106034</v>
      </c>
      <c r="N9" s="38">
        <v>28306</v>
      </c>
      <c r="O9" s="38">
        <v>23722</v>
      </c>
      <c r="P9" s="38">
        <v>80840</v>
      </c>
      <c r="Q9" s="38">
        <v>-15144</v>
      </c>
      <c r="R9" s="38">
        <v>10822</v>
      </c>
      <c r="S9" s="38">
        <v>631680</v>
      </c>
      <c r="T9" s="38">
        <v>1119295</v>
      </c>
      <c r="U9" s="38">
        <v>75594</v>
      </c>
      <c r="V9" s="38">
        <v>29879</v>
      </c>
      <c r="W9" s="38">
        <v>2111745</v>
      </c>
      <c r="X9" s="38">
        <v>233156</v>
      </c>
      <c r="Y9" s="38">
        <v>53046845</v>
      </c>
      <c r="Z9" s="38">
        <v>319298</v>
      </c>
      <c r="AA9" s="38">
        <v>166213</v>
      </c>
      <c r="AB9" s="38">
        <v>20617</v>
      </c>
      <c r="AC9" s="38">
        <v>1583400</v>
      </c>
      <c r="AD9" s="38">
        <v>714859</v>
      </c>
      <c r="AE9" s="38">
        <v>1174868</v>
      </c>
      <c r="AF9" s="38">
        <v>3190626</v>
      </c>
      <c r="AG9" s="38">
        <v>2680305</v>
      </c>
      <c r="AH9" s="38">
        <v>2613864</v>
      </c>
      <c r="AI9" s="38">
        <v>1099434</v>
      </c>
      <c r="AJ9" s="38">
        <v>54767</v>
      </c>
      <c r="AK9" s="26">
        <f t="shared" si="0"/>
        <v>109129687</v>
      </c>
      <c r="AL9" s="38">
        <v>60359679</v>
      </c>
      <c r="AM9" s="38">
        <v>0</v>
      </c>
      <c r="AN9" s="38">
        <v>0</v>
      </c>
      <c r="AO9" s="38">
        <v>0</v>
      </c>
      <c r="AP9" s="38">
        <v>-277115</v>
      </c>
      <c r="AQ9" s="38">
        <v>0</v>
      </c>
      <c r="AR9" s="59">
        <v>13182694</v>
      </c>
      <c r="AS9" s="27">
        <f t="shared" si="1"/>
        <v>73265258</v>
      </c>
      <c r="AT9" s="26">
        <f t="shared" si="2"/>
        <v>182394945</v>
      </c>
      <c r="AU9" s="1">
        <v>182394945</v>
      </c>
      <c r="AV9" s="122">
        <f t="shared" si="3"/>
        <v>0</v>
      </c>
    </row>
    <row r="10" spans="1:48" ht="13.5" customHeight="1">
      <c r="A10" s="44" t="s">
        <v>47</v>
      </c>
      <c r="B10" s="15" t="s">
        <v>5</v>
      </c>
      <c r="C10" s="38">
        <v>516322</v>
      </c>
      <c r="D10" s="38">
        <v>18761</v>
      </c>
      <c r="E10" s="38">
        <v>131097</v>
      </c>
      <c r="F10" s="38">
        <v>9447326</v>
      </c>
      <c r="G10" s="38">
        <v>469462</v>
      </c>
      <c r="H10" s="38">
        <v>99962</v>
      </c>
      <c r="I10" s="109">
        <f>국산거래표_원본!I10-국산거래표_new!J10</f>
        <v>1070190.6231248262</v>
      </c>
      <c r="J10" s="109">
        <f>IFERROR(국산거래표_원본!I10/'A표_총거래표(생산자)_원본'!I10*'A표_총거래표(생산자)_new'!J149,0)</f>
        <v>1.3768751737275462</v>
      </c>
      <c r="K10" s="38">
        <v>150174</v>
      </c>
      <c r="L10" s="38">
        <v>178752</v>
      </c>
      <c r="M10" s="38">
        <v>379901</v>
      </c>
      <c r="N10" s="38">
        <v>265419</v>
      </c>
      <c r="O10" s="38">
        <v>115994</v>
      </c>
      <c r="P10" s="38">
        <v>119809</v>
      </c>
      <c r="Q10" s="38">
        <v>974041</v>
      </c>
      <c r="R10" s="38">
        <v>1411763</v>
      </c>
      <c r="S10" s="38">
        <v>2466981</v>
      </c>
      <c r="T10" s="38">
        <v>44126</v>
      </c>
      <c r="U10" s="38">
        <v>232446</v>
      </c>
      <c r="V10" s="38">
        <v>78593</v>
      </c>
      <c r="W10" s="38">
        <v>1255250</v>
      </c>
      <c r="X10" s="38">
        <v>1794103</v>
      </c>
      <c r="Y10" s="38">
        <v>1548791</v>
      </c>
      <c r="Z10" s="38">
        <v>247453</v>
      </c>
      <c r="AA10" s="38">
        <v>100674</v>
      </c>
      <c r="AB10" s="38">
        <v>173734</v>
      </c>
      <c r="AC10" s="38">
        <v>479977</v>
      </c>
      <c r="AD10" s="38">
        <v>1119697</v>
      </c>
      <c r="AE10" s="38">
        <v>646005</v>
      </c>
      <c r="AF10" s="38">
        <v>211196</v>
      </c>
      <c r="AG10" s="38">
        <v>838527</v>
      </c>
      <c r="AH10" s="38">
        <v>538987</v>
      </c>
      <c r="AI10" s="38">
        <v>836162</v>
      </c>
      <c r="AJ10" s="38">
        <v>17447</v>
      </c>
      <c r="AK10" s="26">
        <f t="shared" si="0"/>
        <v>27979124</v>
      </c>
      <c r="AL10" s="38">
        <v>22360056</v>
      </c>
      <c r="AM10" s="38">
        <v>0</v>
      </c>
      <c r="AN10" s="38">
        <v>59349</v>
      </c>
      <c r="AO10" s="38">
        <v>35246</v>
      </c>
      <c r="AP10" s="38">
        <v>93928</v>
      </c>
      <c r="AQ10" s="38">
        <v>0</v>
      </c>
      <c r="AR10" s="59">
        <v>19632443</v>
      </c>
      <c r="AS10" s="27">
        <f t="shared" si="1"/>
        <v>42181022</v>
      </c>
      <c r="AT10" s="26">
        <f t="shared" si="2"/>
        <v>70160146</v>
      </c>
      <c r="AU10" s="1">
        <v>70160146</v>
      </c>
      <c r="AV10" s="122">
        <f t="shared" si="3"/>
        <v>0</v>
      </c>
    </row>
    <row r="11" spans="1:48" ht="13.5" customHeight="1">
      <c r="A11" s="44" t="s">
        <v>48</v>
      </c>
      <c r="B11" s="15" t="s">
        <v>6</v>
      </c>
      <c r="C11" s="38">
        <v>858139</v>
      </c>
      <c r="D11" s="38">
        <v>11121</v>
      </c>
      <c r="E11" s="38">
        <v>3523836</v>
      </c>
      <c r="F11" s="38">
        <v>218583</v>
      </c>
      <c r="G11" s="38">
        <v>12285532</v>
      </c>
      <c r="H11" s="38">
        <v>133424</v>
      </c>
      <c r="I11" s="109">
        <f>국산거래표_원본!I11-국산거래표_new!J11</f>
        <v>1854768.533595769</v>
      </c>
      <c r="J11" s="109">
        <f>IFERROR(국산거래표_원본!I11/'A표_총거래표(생산자)_원본'!I11*'A표_총거래표(생산자)_new'!J150,0)</f>
        <v>3.4664042309687924</v>
      </c>
      <c r="K11" s="38">
        <v>387612</v>
      </c>
      <c r="L11" s="38">
        <v>234487</v>
      </c>
      <c r="M11" s="38">
        <v>982943</v>
      </c>
      <c r="N11" s="38">
        <v>146738</v>
      </c>
      <c r="O11" s="38">
        <v>483800</v>
      </c>
      <c r="P11" s="38">
        <v>332260</v>
      </c>
      <c r="Q11" s="38">
        <v>97757</v>
      </c>
      <c r="R11" s="38">
        <v>1409707</v>
      </c>
      <c r="S11" s="38">
        <v>394013</v>
      </c>
      <c r="T11" s="38">
        <v>426189</v>
      </c>
      <c r="U11" s="38">
        <v>-7693</v>
      </c>
      <c r="V11" s="38">
        <v>4986871</v>
      </c>
      <c r="W11" s="38">
        <v>4184658</v>
      </c>
      <c r="X11" s="38">
        <v>1378727</v>
      </c>
      <c r="Y11" s="38">
        <v>1993336</v>
      </c>
      <c r="Z11" s="38">
        <v>1909900</v>
      </c>
      <c r="AA11" s="38">
        <v>1584659</v>
      </c>
      <c r="AB11" s="38">
        <v>226739</v>
      </c>
      <c r="AC11" s="38">
        <v>5025693</v>
      </c>
      <c r="AD11" s="38">
        <v>614390</v>
      </c>
      <c r="AE11" s="38">
        <v>845929</v>
      </c>
      <c r="AF11" s="38">
        <v>949913</v>
      </c>
      <c r="AG11" s="38">
        <v>1277891</v>
      </c>
      <c r="AH11" s="38">
        <v>268691</v>
      </c>
      <c r="AI11" s="38">
        <v>828469</v>
      </c>
      <c r="AJ11" s="38">
        <v>9881</v>
      </c>
      <c r="AK11" s="26">
        <f t="shared" si="0"/>
        <v>49858967</v>
      </c>
      <c r="AL11" s="38">
        <v>1312519</v>
      </c>
      <c r="AM11" s="38">
        <v>0</v>
      </c>
      <c r="AN11" s="38">
        <v>0</v>
      </c>
      <c r="AO11" s="38">
        <v>0</v>
      </c>
      <c r="AP11" s="38">
        <v>212872</v>
      </c>
      <c r="AQ11" s="38">
        <v>0</v>
      </c>
      <c r="AR11" s="59">
        <v>4630328</v>
      </c>
      <c r="AS11" s="27">
        <f t="shared" si="1"/>
        <v>6155719</v>
      </c>
      <c r="AT11" s="26">
        <f t="shared" si="2"/>
        <v>56014686</v>
      </c>
      <c r="AU11" s="1">
        <v>56014686</v>
      </c>
      <c r="AV11" s="122">
        <f t="shared" si="3"/>
        <v>0</v>
      </c>
    </row>
    <row r="12" spans="1:48" ht="13.5" customHeight="1">
      <c r="A12" s="44" t="s">
        <v>49</v>
      </c>
      <c r="B12" s="15" t="s">
        <v>7</v>
      </c>
      <c r="C12" s="38">
        <v>1515963</v>
      </c>
      <c r="D12" s="38">
        <v>125960</v>
      </c>
      <c r="E12" s="38">
        <v>326179</v>
      </c>
      <c r="F12" s="38">
        <v>113399</v>
      </c>
      <c r="G12" s="38">
        <v>238255</v>
      </c>
      <c r="H12" s="38">
        <v>4806990</v>
      </c>
      <c r="I12" s="109">
        <f>국산거래표_원본!I12-국산거래표_new!J12</f>
        <v>18548298.225734901</v>
      </c>
      <c r="J12" s="109">
        <f>IFERROR(국산거래표_원본!I12/'A표_총거래표(생산자)_원본'!I12*'A표_총거래표(생산자)_new'!J151,0)</f>
        <v>15.77426510077998</v>
      </c>
      <c r="K12" s="38">
        <v>2257768</v>
      </c>
      <c r="L12" s="38">
        <v>507483</v>
      </c>
      <c r="M12" s="38">
        <v>449612</v>
      </c>
      <c r="N12" s="38">
        <v>77093</v>
      </c>
      <c r="O12" s="38">
        <v>466380</v>
      </c>
      <c r="P12" s="38">
        <v>306892</v>
      </c>
      <c r="Q12" s="38">
        <v>408695</v>
      </c>
      <c r="R12" s="38">
        <v>43843</v>
      </c>
      <c r="S12" s="38">
        <v>704980</v>
      </c>
      <c r="T12" s="38">
        <v>2470064</v>
      </c>
      <c r="U12" s="38">
        <v>678652</v>
      </c>
      <c r="V12" s="38">
        <v>4666910</v>
      </c>
      <c r="W12" s="38">
        <v>8836925</v>
      </c>
      <c r="X12" s="38">
        <v>15957783</v>
      </c>
      <c r="Y12" s="38">
        <v>2950721</v>
      </c>
      <c r="Z12" s="38">
        <v>393549</v>
      </c>
      <c r="AA12" s="38">
        <v>139762</v>
      </c>
      <c r="AB12" s="38">
        <v>912283</v>
      </c>
      <c r="AC12" s="38">
        <v>4192860</v>
      </c>
      <c r="AD12" s="38">
        <v>894255</v>
      </c>
      <c r="AE12" s="38">
        <v>3333481</v>
      </c>
      <c r="AF12" s="38">
        <v>2184484</v>
      </c>
      <c r="AG12" s="38">
        <v>1490227</v>
      </c>
      <c r="AH12" s="38">
        <v>341918</v>
      </c>
      <c r="AI12" s="38">
        <v>912218</v>
      </c>
      <c r="AJ12" s="38">
        <v>22523</v>
      </c>
      <c r="AK12" s="26">
        <f t="shared" si="0"/>
        <v>81276421</v>
      </c>
      <c r="AL12" s="38">
        <v>17658256</v>
      </c>
      <c r="AM12" s="38">
        <v>0</v>
      </c>
      <c r="AN12" s="38">
        <v>0</v>
      </c>
      <c r="AO12" s="38">
        <v>0</v>
      </c>
      <c r="AP12" s="38">
        <v>562201</v>
      </c>
      <c r="AQ12" s="38">
        <v>0</v>
      </c>
      <c r="AR12" s="59">
        <v>77066088</v>
      </c>
      <c r="AS12" s="27">
        <f t="shared" si="1"/>
        <v>95286545</v>
      </c>
      <c r="AT12" s="26">
        <f t="shared" si="2"/>
        <v>176562966</v>
      </c>
      <c r="AU12" s="1">
        <v>176562966</v>
      </c>
      <c r="AV12" s="122">
        <f t="shared" si="3"/>
        <v>0</v>
      </c>
    </row>
    <row r="13" spans="1:48" s="115" customFormat="1" ht="13.5" customHeight="1">
      <c r="A13" s="107" t="s">
        <v>50</v>
      </c>
      <c r="B13" s="113" t="s">
        <v>8</v>
      </c>
      <c r="C13" s="109">
        <f>국산거래표_원본!C13-국산거래표_new!C14</f>
        <v>4512615.6590825887</v>
      </c>
      <c r="D13" s="109">
        <f>국산거래표_원본!D13-국산거래표_new!D14</f>
        <v>217551.54967778962</v>
      </c>
      <c r="E13" s="109">
        <f>국산거래표_원본!E13-국산거래표_new!E14</f>
        <v>4252089.1983609889</v>
      </c>
      <c r="F13" s="109">
        <f>국산거래표_원본!F13-국산거래표_new!F14</f>
        <v>5435483.7487859316</v>
      </c>
      <c r="G13" s="109">
        <f>국산거래표_원본!G13-국산거래표_new!G14</f>
        <v>3512885.7284799009</v>
      </c>
      <c r="H13" s="109">
        <f>국산거래표_원본!H13-국산거래표_new!H14</f>
        <v>2835506.1306260964</v>
      </c>
      <c r="I13" s="127">
        <f>국산거래표_원본!I13-국산거래표_new!I14-309</f>
        <v>75442714.836417496</v>
      </c>
      <c r="J13" s="109">
        <f>IFERROR(국산거래표_원본!I13/'A표_총거래표(생산자)_원본'!I13*'A표_총거래표(생산자)_new'!J152,0)</f>
        <v>88.549722750314245</v>
      </c>
      <c r="K13" s="109">
        <f>국산거래표_원본!J13-국산거래표_new!K14</f>
        <v>1751716.3740235788</v>
      </c>
      <c r="L13" s="109">
        <f>국산거래표_원본!K13-국산거래표_new!L14</f>
        <v>1645881.593096955</v>
      </c>
      <c r="M13" s="109">
        <f>국산거래표_원본!L13-국산거래표_new!M14</f>
        <v>7862775.7243975084</v>
      </c>
      <c r="N13" s="109">
        <f>국산거래표_원본!M13-국산거래표_new!N14</f>
        <v>9877880.5532184839</v>
      </c>
      <c r="O13" s="109">
        <f>국산거래표_원본!N13-국산거래표_new!O14</f>
        <v>9617026.0931758285</v>
      </c>
      <c r="P13" s="109">
        <f>국산거래표_원본!O13-국산거래표_new!P14</f>
        <v>5052651.5412318883</v>
      </c>
      <c r="Q13" s="109">
        <f>국산거래표_원본!P13-국산거래표_new!Q14</f>
        <v>19593946.44138626</v>
      </c>
      <c r="R13" s="109">
        <f>국산거래표_원본!Q13-국산거래표_new!R14</f>
        <v>2527831.7674985966</v>
      </c>
      <c r="S13" s="109">
        <f>국산거래표_원본!R13-국산거래표_new!S14</f>
        <v>1787590.2997661186</v>
      </c>
      <c r="T13" s="109">
        <f>국산거래표_원본!S13-국산거래표_new!T14</f>
        <v>2384807.0635534897</v>
      </c>
      <c r="U13" s="109">
        <f>국산거래표_원본!T13-국산거래표_new!U14</f>
        <v>1951553.9603684992</v>
      </c>
      <c r="V13" s="109">
        <f>국산거래표_원본!U13-국산거래표_new!V14</f>
        <v>11851515.467880372</v>
      </c>
      <c r="W13" s="109">
        <f>국산거래표_원본!V13-국산거래표_new!W14</f>
        <v>4975381.7011770839</v>
      </c>
      <c r="X13" s="109">
        <f>국산거래표_원본!W13-국산거래표_new!X14</f>
        <v>1360974.1828428563</v>
      </c>
      <c r="Y13" s="109">
        <f>국산거래표_원본!X13-국산거래표_new!Y14</f>
        <v>4735366.1979986979</v>
      </c>
      <c r="Z13" s="109">
        <f>국산거래표_원본!Y13-국산거래표_new!Z14</f>
        <v>764738.41702486225</v>
      </c>
      <c r="AA13" s="109">
        <f>국산거래표_원본!Z13-국산거래표_new!AA14</f>
        <v>119631.75236749525</v>
      </c>
      <c r="AB13" s="109">
        <f>국산거래표_원본!AA13-국산거래표_new!AB14</f>
        <v>277330.42593812547</v>
      </c>
      <c r="AC13" s="109">
        <f>국산거래표_원본!AB13-국산거래표_new!AC14</f>
        <v>9346092.6539962199</v>
      </c>
      <c r="AD13" s="109">
        <f>국산거래표_원본!AC13-국산거래표_new!AD14</f>
        <v>3833419.0649898872</v>
      </c>
      <c r="AE13" s="109">
        <f>국산거래표_원본!AD13-국산거래표_new!AE14</f>
        <v>1605322.6770521405</v>
      </c>
      <c r="AF13" s="109">
        <f>국산거래표_원본!AE13-국산거래표_new!AF14</f>
        <v>1246075.420678278</v>
      </c>
      <c r="AG13" s="109">
        <f>국산거래표_원본!AF13-국산거래표_new!AG14</f>
        <v>23440903.478353135</v>
      </c>
      <c r="AH13" s="109">
        <f>국산거래표_원본!AG13-국산거래표_new!AH14</f>
        <v>730490.48791658028</v>
      </c>
      <c r="AI13" s="109">
        <f>국산거래표_원본!AH13-국산거래표_new!AI14</f>
        <v>3262966.2458023196</v>
      </c>
      <c r="AJ13" s="109">
        <f>국산거래표_원본!AI13-국산거래표_new!AJ14</f>
        <v>31873.934022348065</v>
      </c>
      <c r="AK13" s="26">
        <f t="shared" si="0"/>
        <v>227844678.92091116</v>
      </c>
      <c r="AL13" s="109">
        <f>국산거래표_원본!AK13-국산거래표_new!AL14</f>
        <v>7116548.2690557633</v>
      </c>
      <c r="AM13" s="109">
        <f>국산거래표_원본!AL13-국산거래표_new!AM14</f>
        <v>0</v>
      </c>
      <c r="AN13" s="109">
        <f>국산거래표_원본!AM13-국산거래표_new!AN14</f>
        <v>0</v>
      </c>
      <c r="AO13" s="109">
        <f>국산거래표_원본!AN13-국산거래표_new!AO14</f>
        <v>0</v>
      </c>
      <c r="AP13" s="109">
        <f>국산거래표_원본!AO13-국산거래표_new!AP14</f>
        <v>1249033.4145553596</v>
      </c>
      <c r="AQ13" s="109">
        <v>0</v>
      </c>
      <c r="AR13" s="109">
        <f>국산거래표_원본!AQ13-국산거래표_new!AR14</f>
        <v>140414957.34716827</v>
      </c>
      <c r="AS13" s="27">
        <f t="shared" si="1"/>
        <v>148780539.03077939</v>
      </c>
      <c r="AT13" s="26">
        <f t="shared" si="2"/>
        <v>376625217.95169055</v>
      </c>
      <c r="AU13" s="115">
        <v>376625218</v>
      </c>
      <c r="AV13" s="122">
        <f t="shared" si="3"/>
        <v>4.8309445381164551E-2</v>
      </c>
    </row>
    <row r="14" spans="1:48" s="115" customFormat="1" ht="13.5" customHeight="1">
      <c r="A14" s="107"/>
      <c r="B14" s="113"/>
      <c r="C14" s="109">
        <f>국산거래표_원본!C13/'A표_총거래표(생산자)_원본'!C13*'A표_총거래표(생산자)_new'!C153</f>
        <v>9.3409174113636606</v>
      </c>
      <c r="D14" s="109">
        <f>국산거래표_원본!D13/'A표_총거래표(생산자)_원본'!D13*'A표_총거래표(생산자)_new'!D153</f>
        <v>0.45032221039350417</v>
      </c>
      <c r="E14" s="109">
        <f>국산거래표_원본!E13/'A표_총거래표(생산자)_원본'!E13*'A표_총거래표(생산자)_new'!E153</f>
        <v>8.8016390112239762</v>
      </c>
      <c r="F14" s="109">
        <f>국산거래표_원본!F13/'A표_총거래표(생산자)_원본'!F13*'A표_총거래표(생산자)_new'!F153</f>
        <v>11.25121406828179</v>
      </c>
      <c r="G14" s="109">
        <f>국산거래표_원본!G13/'A표_총거래표(생산자)_원본'!G13*'A표_총거래표(생산자)_new'!G153</f>
        <v>7.2715200992676143</v>
      </c>
      <c r="H14" s="109">
        <f>국산거래표_원본!H13/'A표_총거래표(생산자)_원본'!H13*'A표_총거래표(생산자)_new'!H153</f>
        <v>5.869373903422197</v>
      </c>
      <c r="I14" s="109">
        <f>국산거래표_원본!I13/'A표_총거래표(생산자)_원본'!I13*'A표_총거래표(생산자)_new'!I153</f>
        <v>156.16358250311353</v>
      </c>
      <c r="J14" s="127">
        <f>국산거래표_원본!I13/'A표_총거래표(생산자)_원본'!I13*'A표_총거래표(생산자)_new'!J153+200+20</f>
        <v>220.00018329409824</v>
      </c>
      <c r="K14" s="109">
        <f>국산거래표_원본!J13/'A표_총거래표(생산자)_원본'!J13*'A표_총거래표(생산자)_new'!K153</f>
        <v>3.6259764212257717</v>
      </c>
      <c r="L14" s="109">
        <f>국산거래표_원본!K13/'A표_총거래표(생산자)_원본'!K13*'A표_총거래표(생산자)_new'!L153</f>
        <v>3.4069030450352682</v>
      </c>
      <c r="M14" s="109">
        <f>국산거래표_원본!L13/'A표_총거래표(생산자)_원본'!L13*'A표_총거래표(생산자)_new'!M153</f>
        <v>16.275602491838093</v>
      </c>
      <c r="N14" s="109">
        <f>국산거래표_원본!M13/'A표_총거래표(생산자)_원본'!M13*'A표_총거래표(생산자)_new'!N153</f>
        <v>20.44678151599712</v>
      </c>
      <c r="O14" s="109">
        <f>국산거래표_원본!N13/'A표_총거래표(생산자)_원본'!N13*'A표_총거래표(생산자)_new'!O153</f>
        <v>19.906824171582002</v>
      </c>
      <c r="P14" s="109">
        <f>국산거래표_원본!O13/'A표_총거래표(생산자)_원본'!O13*'A표_총거래표(생산자)_new'!P153</f>
        <v>10.45876811158373</v>
      </c>
      <c r="Q14" s="109">
        <f>국산거래표_원본!P13/'A표_총거래표(생산자)_원본'!P13*'A표_총거래표(생산자)_new'!Q153</f>
        <v>40.558613739527033</v>
      </c>
      <c r="R14" s="109">
        <f>국산거래표_원본!Q13/'A표_총거래표(생산자)_원본'!Q13*'A표_총거래표(생산자)_new'!R153</f>
        <v>5.2325014035930923</v>
      </c>
      <c r="S14" s="109">
        <f>국산거래표_원본!R13/'A표_총거래표(생산자)_원본'!R13*'A표_총거래표(생산자)_new'!S153</f>
        <v>3.7002338813992321</v>
      </c>
      <c r="T14" s="109">
        <f>국산거래표_원본!S13/'A표_총거래표(생산자)_원본'!S13*'A표_총거래표(생산자)_new'!T153</f>
        <v>4.9364465103191577</v>
      </c>
      <c r="U14" s="109">
        <f>국산거래표_원본!T13/'A표_총거래표(생산자)_원본'!T13*'A표_총거래표(생산자)_new'!U153</f>
        <v>4.0396315008417583</v>
      </c>
      <c r="V14" s="109">
        <f>국산거래표_원본!U13/'A표_총거래표(생산자)_원본'!U13*'A표_총거래표(생산자)_new'!V153</f>
        <v>24.532119628259132</v>
      </c>
      <c r="W14" s="109">
        <f>국산거래표_원본!V13/'A표_총거래표(생산자)_원본'!V13*'A표_총거래표(생산자)_new'!W153</f>
        <v>10.298822915965642</v>
      </c>
      <c r="X14" s="109">
        <f>국산거래표_원본!W13/'A표_총거래표(생산자)_원본'!W13*'A표_총거래표(생산자)_new'!X153</f>
        <v>2.8171571437390606</v>
      </c>
      <c r="Y14" s="109">
        <f>국산거래표_원본!X13/'A표_총거래표(생산자)_원본'!X13*'A표_총거래표(생산자)_new'!Y153</f>
        <v>9.8020013025131956</v>
      </c>
      <c r="Z14" s="109">
        <f>국산거래표_원본!Y13/'A표_총거래표(생산자)_원본'!Y13*'A표_총거래표(생산자)_new'!Z153</f>
        <v>1.5829751377892567</v>
      </c>
      <c r="AA14" s="109">
        <f>국산거래표_원본!Z13/'A표_총거래표(생산자)_원본'!Z13*'A표_총거래표(생산자)_new'!AA153</f>
        <v>0.24763250475194756</v>
      </c>
      <c r="AB14" s="109">
        <f>국산거래표_원본!AA13/'A표_총거래표(생산자)_원본'!AA13*'A표_총거래표(생산자)_new'!AB153</f>
        <v>0.57406187454328572</v>
      </c>
      <c r="AC14" s="109">
        <f>국산거래표_원본!AB13/'A표_총거래표(생산자)_원본'!AB13*'A표_총거래표(생산자)_new'!AC153</f>
        <v>19.346003780361727</v>
      </c>
      <c r="AD14" s="109">
        <f>국산거래표_원본!AC13/'A표_총거래표(생산자)_원본'!AC13*'A표_총거래표(생산자)_new'!AD153</f>
        <v>7.9350101126265891</v>
      </c>
      <c r="AE14" s="109">
        <f>국산거래표_원본!AD13/'A표_총거래표(생산자)_원본'!AD13*'A표_총거래표(생산자)_new'!AE153</f>
        <v>3.3229478594642319</v>
      </c>
      <c r="AF14" s="109">
        <f>국산거래표_원본!AE13/'A표_총거래표(생산자)_원본'!AE13*'A표_총거래표(생산자)_new'!AF153</f>
        <v>2.5793217220835336</v>
      </c>
      <c r="AG14" s="109">
        <f>국산거래표_원본!AF13/'A표_총거래표(생산자)_원본'!AF13*'A표_총거래표(생산자)_new'!AG153</f>
        <v>48.521646863131728</v>
      </c>
      <c r="AH14" s="109">
        <f>국산거래표_원본!AG13/'A표_총거래표(생산자)_원본'!AG13*'A표_총거래표(생산자)_new'!AH153</f>
        <v>1.512083419664134</v>
      </c>
      <c r="AI14" s="109">
        <f>국산거래표_원본!AH13/'A표_총거래표(생산자)_원본'!AH13*'A표_총거래표(생산자)_new'!AI153</f>
        <v>6.7541976806203738</v>
      </c>
      <c r="AJ14" s="109">
        <f>국산거래표_원본!AI13/'A표_총거래표(생산자)_원본'!AI13*'A표_총거래표(생산자)_new'!AJ153</f>
        <v>6.5977651936468304E-2</v>
      </c>
      <c r="AK14" s="26">
        <f t="shared" si="0"/>
        <v>691.62899489155689</v>
      </c>
      <c r="AL14" s="109">
        <f>국산거래표_원본!AK13/'A표_총거래표(생산자)_원본'!AK13*'A표_총거래표(생산자)_new'!AL153</f>
        <v>14.730944236617578</v>
      </c>
      <c r="AM14" s="109">
        <f>IFERROR(국산거래표_원본!AL13/'A표_총거래표(생산자)_원본'!AL13*'A표_총거래표(생산자)_new'!AM153,0)</f>
        <v>0</v>
      </c>
      <c r="AN14" s="109">
        <f>IFERROR(국산거래표_원본!AM13/'A표_총거래표(생산자)_원본'!AM13*'A표_총거래표(생산자)_new'!AN153,0)</f>
        <v>0</v>
      </c>
      <c r="AO14" s="109">
        <f>IFERROR(국산거래표_원본!AN13/'A표_총거래표(생산자)_원본'!AN13*'A표_총거래표(생산자)_new'!AO153,0)</f>
        <v>0</v>
      </c>
      <c r="AP14" s="109">
        <f>IFERROR(국산거래표_원본!AO13/'A표_총거래표(생산자)_원본'!AO13*'A표_총거래표(생산자)_new'!AP153,0)</f>
        <v>2.5854446402747886</v>
      </c>
      <c r="AQ14" s="109">
        <f>IFERROR(국산거래표_원본!AP13/'A표_총거래표(생산자)_원본'!AP13*'A표_총거래표(생산자)_new'!AQ153,0)</f>
        <v>0</v>
      </c>
      <c r="AR14" s="109">
        <f>IFERROR(국산거래표_원본!AQ13/'A표_총거래표(생산자)_원본'!AQ13*'A표_총거래표(생산자)_new'!AR153,0)</f>
        <v>290.65283174740784</v>
      </c>
      <c r="AS14" s="27">
        <f t="shared" si="1"/>
        <v>307.96922062430019</v>
      </c>
      <c r="AT14" s="26">
        <f t="shared" si="2"/>
        <v>999.59821551585708</v>
      </c>
      <c r="AU14" s="115">
        <v>1000.0000000000001</v>
      </c>
      <c r="AV14" s="122">
        <f t="shared" si="3"/>
        <v>0.40178448414303602</v>
      </c>
    </row>
    <row r="15" spans="1:48" ht="13.5" customHeight="1">
      <c r="A15" s="44" t="s">
        <v>51</v>
      </c>
      <c r="B15" s="15" t="s">
        <v>9</v>
      </c>
      <c r="C15" s="38">
        <v>36349</v>
      </c>
      <c r="D15" s="38">
        <v>8909</v>
      </c>
      <c r="E15" s="38">
        <v>866923</v>
      </c>
      <c r="F15" s="38">
        <v>29958</v>
      </c>
      <c r="G15" s="38">
        <v>57935</v>
      </c>
      <c r="H15" s="38">
        <v>128152</v>
      </c>
      <c r="I15" s="109">
        <f>국산거래표_원본!I14-국산거래표_new!J15</f>
        <v>1034798.6707524401</v>
      </c>
      <c r="J15" s="109">
        <f>IFERROR(국산거래표_원본!I14/'A표_총거래표(생산자)_원본'!I14*'A표_총거래표(생산자)_new'!J154,0)</f>
        <v>1.32924755992584</v>
      </c>
      <c r="K15" s="38">
        <v>6026519</v>
      </c>
      <c r="L15" s="38">
        <v>2828197</v>
      </c>
      <c r="M15" s="38">
        <v>509833</v>
      </c>
      <c r="N15" s="38">
        <v>1263686</v>
      </c>
      <c r="O15" s="38">
        <v>892908</v>
      </c>
      <c r="P15" s="38">
        <v>355287</v>
      </c>
      <c r="Q15" s="38">
        <v>1724611</v>
      </c>
      <c r="R15" s="38">
        <v>192607</v>
      </c>
      <c r="S15" s="38">
        <v>133976</v>
      </c>
      <c r="T15" s="38">
        <v>-162362</v>
      </c>
      <c r="U15" s="38">
        <v>186331</v>
      </c>
      <c r="V15" s="38">
        <v>27727818</v>
      </c>
      <c r="W15" s="38">
        <v>107592</v>
      </c>
      <c r="X15" s="38">
        <v>75336</v>
      </c>
      <c r="Y15" s="38">
        <v>661954</v>
      </c>
      <c r="Z15" s="38">
        <v>13649</v>
      </c>
      <c r="AA15" s="38">
        <v>3732</v>
      </c>
      <c r="AB15" s="38">
        <v>84142</v>
      </c>
      <c r="AC15" s="38">
        <v>222048</v>
      </c>
      <c r="AD15" s="38">
        <v>226104</v>
      </c>
      <c r="AE15" s="38">
        <v>330613</v>
      </c>
      <c r="AF15" s="38">
        <v>141809</v>
      </c>
      <c r="AG15" s="38">
        <v>66266</v>
      </c>
      <c r="AH15" s="38">
        <v>141714</v>
      </c>
      <c r="AI15" s="38">
        <v>34688</v>
      </c>
      <c r="AJ15" s="38">
        <v>4568</v>
      </c>
      <c r="AK15" s="26">
        <f t="shared" si="0"/>
        <v>45956652</v>
      </c>
      <c r="AL15" s="38">
        <v>-69359</v>
      </c>
      <c r="AM15" s="38">
        <v>0</v>
      </c>
      <c r="AN15" s="38">
        <v>0</v>
      </c>
      <c r="AO15" s="38">
        <v>0</v>
      </c>
      <c r="AP15" s="38">
        <v>158903</v>
      </c>
      <c r="AQ15" s="38">
        <v>0</v>
      </c>
      <c r="AR15" s="59">
        <v>4781328</v>
      </c>
      <c r="AS15" s="27">
        <f t="shared" si="1"/>
        <v>4870872</v>
      </c>
      <c r="AT15" s="26">
        <f t="shared" si="2"/>
        <v>50827524</v>
      </c>
      <c r="AU15" s="1">
        <v>50827524</v>
      </c>
      <c r="AV15" s="122">
        <f t="shared" si="3"/>
        <v>0</v>
      </c>
    </row>
    <row r="16" spans="1:48" ht="13.5" customHeight="1">
      <c r="A16" s="44" t="s">
        <v>52</v>
      </c>
      <c r="B16" s="15" t="s">
        <v>10</v>
      </c>
      <c r="C16" s="38">
        <v>90703</v>
      </c>
      <c r="D16" s="38">
        <v>8189</v>
      </c>
      <c r="E16" s="38">
        <v>26239</v>
      </c>
      <c r="F16" s="38">
        <v>-2016</v>
      </c>
      <c r="G16" s="38">
        <v>45297</v>
      </c>
      <c r="H16" s="38">
        <v>548043</v>
      </c>
      <c r="I16" s="109">
        <f>국산거래표_원본!I15-국산거래표_new!J16</f>
        <v>1432935.7805126864</v>
      </c>
      <c r="J16" s="109">
        <f>IFERROR(국산거래표_원본!I15/'A표_총거래표(생산자)_원본'!I15*'A표_총거래표(생산자)_new'!J155,0)</f>
        <v>1.2194873136620348</v>
      </c>
      <c r="K16" s="38">
        <v>880571</v>
      </c>
      <c r="L16" s="38">
        <v>33775453</v>
      </c>
      <c r="M16" s="38">
        <v>21994525</v>
      </c>
      <c r="N16" s="38">
        <v>4000083</v>
      </c>
      <c r="O16" s="38">
        <v>13934318</v>
      </c>
      <c r="P16" s="38">
        <v>11988557</v>
      </c>
      <c r="Q16" s="38">
        <v>20302556</v>
      </c>
      <c r="R16" s="38">
        <v>1504746</v>
      </c>
      <c r="S16" s="38">
        <v>987215</v>
      </c>
      <c r="T16" s="38">
        <v>378889</v>
      </c>
      <c r="U16" s="38">
        <v>162585</v>
      </c>
      <c r="V16" s="38">
        <v>23535608</v>
      </c>
      <c r="W16" s="38">
        <v>-724</v>
      </c>
      <c r="X16" s="38">
        <v>14347</v>
      </c>
      <c r="Y16" s="38">
        <v>27276</v>
      </c>
      <c r="Z16" s="38">
        <v>-21236</v>
      </c>
      <c r="AA16" s="38">
        <v>-69</v>
      </c>
      <c r="AB16" s="38">
        <v>-536</v>
      </c>
      <c r="AC16" s="38">
        <v>379025</v>
      </c>
      <c r="AD16" s="38">
        <v>973</v>
      </c>
      <c r="AE16" s="38">
        <v>3089</v>
      </c>
      <c r="AF16" s="38">
        <v>-19677</v>
      </c>
      <c r="AG16" s="38">
        <v>173780</v>
      </c>
      <c r="AH16" s="38">
        <v>-4842</v>
      </c>
      <c r="AI16" s="38">
        <v>-30110</v>
      </c>
      <c r="AJ16" s="38">
        <v>9136</v>
      </c>
      <c r="AK16" s="26">
        <f t="shared" si="0"/>
        <v>136124930</v>
      </c>
      <c r="AL16" s="38">
        <v>-741899</v>
      </c>
      <c r="AM16" s="38">
        <v>0</v>
      </c>
      <c r="AN16" s="38">
        <v>-3134918</v>
      </c>
      <c r="AO16" s="38">
        <v>-83309</v>
      </c>
      <c r="AP16" s="38">
        <v>315441</v>
      </c>
      <c r="AQ16" s="38">
        <v>130731</v>
      </c>
      <c r="AR16" s="59">
        <v>59288136</v>
      </c>
      <c r="AS16" s="27">
        <f t="shared" si="1"/>
        <v>55774182</v>
      </c>
      <c r="AT16" s="26">
        <f t="shared" si="2"/>
        <v>191899112</v>
      </c>
      <c r="AU16" s="1">
        <v>191899112</v>
      </c>
      <c r="AV16" s="122">
        <f t="shared" si="3"/>
        <v>0</v>
      </c>
    </row>
    <row r="17" spans="1:48" ht="13.5" customHeight="1">
      <c r="A17" s="44" t="s">
        <v>53</v>
      </c>
      <c r="B17" s="15" t="s">
        <v>54</v>
      </c>
      <c r="C17" s="38">
        <v>76325</v>
      </c>
      <c r="D17" s="38">
        <v>112396</v>
      </c>
      <c r="E17" s="38">
        <v>2217143</v>
      </c>
      <c r="F17" s="38">
        <v>116512</v>
      </c>
      <c r="G17" s="38">
        <v>594802</v>
      </c>
      <c r="H17" s="38">
        <v>2872386</v>
      </c>
      <c r="I17" s="109">
        <f>국산거래표_원본!I16-국산거래표_new!J17</f>
        <v>2326401.9259258555</v>
      </c>
      <c r="J17" s="109">
        <f>IFERROR(국산거래표_원본!I16/'A표_총거래표(생산자)_원본'!I16*'A표_총거래표(생산자)_new'!J156,0)</f>
        <v>4.0740741444551212</v>
      </c>
      <c r="K17" s="38">
        <v>586542</v>
      </c>
      <c r="L17" s="38">
        <v>1481015</v>
      </c>
      <c r="M17" s="38">
        <v>18262217</v>
      </c>
      <c r="N17" s="38">
        <v>2003649</v>
      </c>
      <c r="O17" s="38">
        <v>4926314</v>
      </c>
      <c r="P17" s="38">
        <v>18984223</v>
      </c>
      <c r="Q17" s="38">
        <v>17019521</v>
      </c>
      <c r="R17" s="38">
        <v>1327694</v>
      </c>
      <c r="S17" s="38">
        <v>1130999</v>
      </c>
      <c r="T17" s="38">
        <v>798877</v>
      </c>
      <c r="U17" s="38">
        <v>546209</v>
      </c>
      <c r="V17" s="38">
        <v>24860415</v>
      </c>
      <c r="W17" s="38">
        <v>1065414</v>
      </c>
      <c r="X17" s="38">
        <v>731302</v>
      </c>
      <c r="Y17" s="38">
        <v>1521590</v>
      </c>
      <c r="Z17" s="38">
        <v>248683</v>
      </c>
      <c r="AA17" s="38">
        <v>136263</v>
      </c>
      <c r="AB17" s="38">
        <v>198705</v>
      </c>
      <c r="AC17" s="38">
        <v>1106438</v>
      </c>
      <c r="AD17" s="38">
        <v>1089230</v>
      </c>
      <c r="AE17" s="38">
        <v>1582371</v>
      </c>
      <c r="AF17" s="38">
        <v>465853</v>
      </c>
      <c r="AG17" s="38">
        <v>353499</v>
      </c>
      <c r="AH17" s="38">
        <v>253202</v>
      </c>
      <c r="AI17" s="38">
        <v>928169</v>
      </c>
      <c r="AJ17" s="38">
        <v>15794</v>
      </c>
      <c r="AK17" s="26">
        <f t="shared" si="0"/>
        <v>109940158</v>
      </c>
      <c r="AL17" s="38">
        <v>934850</v>
      </c>
      <c r="AM17" s="38">
        <v>0</v>
      </c>
      <c r="AN17" s="38">
        <v>6305296</v>
      </c>
      <c r="AO17" s="38">
        <v>1591651</v>
      </c>
      <c r="AP17" s="38">
        <v>150298</v>
      </c>
      <c r="AQ17" s="38">
        <v>0</v>
      </c>
      <c r="AR17" s="59">
        <v>17376557</v>
      </c>
      <c r="AS17" s="27">
        <f t="shared" si="1"/>
        <v>26358652</v>
      </c>
      <c r="AT17" s="26">
        <f t="shared" si="2"/>
        <v>136298810</v>
      </c>
      <c r="AU17" s="1">
        <v>136298810</v>
      </c>
      <c r="AV17" s="122">
        <f t="shared" si="3"/>
        <v>0</v>
      </c>
    </row>
    <row r="18" spans="1:48" ht="13.5" customHeight="1">
      <c r="A18" s="44" t="s">
        <v>55</v>
      </c>
      <c r="B18" s="15" t="s">
        <v>56</v>
      </c>
      <c r="C18" s="38">
        <v>180911</v>
      </c>
      <c r="D18" s="38">
        <v>13295</v>
      </c>
      <c r="E18" s="38">
        <v>178895</v>
      </c>
      <c r="F18" s="38">
        <v>40877</v>
      </c>
      <c r="G18" s="38">
        <v>222265</v>
      </c>
      <c r="H18" s="38">
        <v>811975</v>
      </c>
      <c r="I18" s="109">
        <f>국산거래표_원본!I17-국산거래표_new!J18</f>
        <v>622429.9321046687</v>
      </c>
      <c r="J18" s="109">
        <f>IFERROR(국산거래표_원본!I17/'A표_총거래표(생산자)_원본'!I17*'A표_총거래표(생산자)_new'!J157,0)</f>
        <v>1.0678953313009218</v>
      </c>
      <c r="K18" s="38">
        <v>87363</v>
      </c>
      <c r="L18" s="38">
        <v>457287</v>
      </c>
      <c r="M18" s="38">
        <v>1098790</v>
      </c>
      <c r="N18" s="38">
        <v>45724364</v>
      </c>
      <c r="O18" s="38">
        <v>8383439</v>
      </c>
      <c r="P18" s="38">
        <v>6399034</v>
      </c>
      <c r="Q18" s="38">
        <v>6259350</v>
      </c>
      <c r="R18" s="38">
        <v>137883</v>
      </c>
      <c r="S18" s="38">
        <v>2199819</v>
      </c>
      <c r="T18" s="38">
        <v>1052620</v>
      </c>
      <c r="U18" s="38">
        <v>442428</v>
      </c>
      <c r="V18" s="38">
        <v>897027</v>
      </c>
      <c r="W18" s="38">
        <v>2969353</v>
      </c>
      <c r="X18" s="38">
        <v>690604</v>
      </c>
      <c r="Y18" s="38">
        <v>1505383</v>
      </c>
      <c r="Z18" s="38">
        <v>5684154</v>
      </c>
      <c r="AA18" s="38">
        <v>482548</v>
      </c>
      <c r="AB18" s="38">
        <v>606278</v>
      </c>
      <c r="AC18" s="38">
        <v>10579547</v>
      </c>
      <c r="AD18" s="38">
        <v>1523318</v>
      </c>
      <c r="AE18" s="38">
        <v>737465</v>
      </c>
      <c r="AF18" s="38">
        <v>1472022</v>
      </c>
      <c r="AG18" s="38">
        <v>1885952</v>
      </c>
      <c r="AH18" s="38">
        <v>498559</v>
      </c>
      <c r="AI18" s="38">
        <v>2190231</v>
      </c>
      <c r="AJ18" s="38">
        <v>51754</v>
      </c>
      <c r="AK18" s="26">
        <f t="shared" si="0"/>
        <v>106087221</v>
      </c>
      <c r="AL18" s="38">
        <v>9881605</v>
      </c>
      <c r="AM18" s="38">
        <v>0</v>
      </c>
      <c r="AN18" s="38">
        <v>11175254</v>
      </c>
      <c r="AO18" s="38">
        <v>1544810</v>
      </c>
      <c r="AP18" s="38">
        <v>370986</v>
      </c>
      <c r="AQ18" s="38">
        <v>0</v>
      </c>
      <c r="AR18" s="59">
        <v>190751858</v>
      </c>
      <c r="AS18" s="27">
        <f t="shared" si="1"/>
        <v>213724513</v>
      </c>
      <c r="AT18" s="26">
        <f t="shared" si="2"/>
        <v>319811734</v>
      </c>
      <c r="AU18" s="1">
        <v>319811734</v>
      </c>
      <c r="AV18" s="122">
        <f t="shared" si="3"/>
        <v>0</v>
      </c>
    </row>
    <row r="19" spans="1:48" ht="13.5" customHeight="1">
      <c r="A19" s="44" t="s">
        <v>57</v>
      </c>
      <c r="B19" s="15" t="s">
        <v>58</v>
      </c>
      <c r="C19" s="38">
        <v>126894</v>
      </c>
      <c r="D19" s="38">
        <v>94331</v>
      </c>
      <c r="E19" s="38">
        <v>133844</v>
      </c>
      <c r="F19" s="38">
        <v>64432</v>
      </c>
      <c r="G19" s="38">
        <v>205877</v>
      </c>
      <c r="H19" s="38">
        <v>468574</v>
      </c>
      <c r="I19" s="109">
        <f>국산거래표_원본!I18-국산거래표_new!J19</f>
        <v>472006.16110474971</v>
      </c>
      <c r="J19" s="109">
        <f>IFERROR(국산거래표_원본!I18/'A표_총거래표(생산자)_원본'!I18*'A표_총거래표(생산자)_new'!J158,0)</f>
        <v>0.83889525027724066</v>
      </c>
      <c r="K19" s="38">
        <v>328846</v>
      </c>
      <c r="L19" s="38">
        <v>471847</v>
      </c>
      <c r="M19" s="38">
        <v>1306810</v>
      </c>
      <c r="N19" s="38">
        <v>4221884</v>
      </c>
      <c r="O19" s="38">
        <v>27157868</v>
      </c>
      <c r="P19" s="38">
        <v>6662401</v>
      </c>
      <c r="Q19" s="38">
        <v>19239436</v>
      </c>
      <c r="R19" s="38">
        <v>298727</v>
      </c>
      <c r="S19" s="38">
        <v>1877102</v>
      </c>
      <c r="T19" s="38">
        <v>1705618</v>
      </c>
      <c r="U19" s="38">
        <v>971834</v>
      </c>
      <c r="V19" s="38">
        <v>13810541</v>
      </c>
      <c r="W19" s="38">
        <v>1878632</v>
      </c>
      <c r="X19" s="38">
        <v>2847236</v>
      </c>
      <c r="Y19" s="38">
        <v>2514865</v>
      </c>
      <c r="Z19" s="38">
        <v>3111831</v>
      </c>
      <c r="AA19" s="38">
        <v>368380</v>
      </c>
      <c r="AB19" s="38">
        <v>846340</v>
      </c>
      <c r="AC19" s="38">
        <v>7997559</v>
      </c>
      <c r="AD19" s="38">
        <v>2423434</v>
      </c>
      <c r="AE19" s="38">
        <v>894011</v>
      </c>
      <c r="AF19" s="38">
        <v>777977</v>
      </c>
      <c r="AG19" s="38">
        <v>567661</v>
      </c>
      <c r="AH19" s="38">
        <v>450395</v>
      </c>
      <c r="AI19" s="38">
        <v>2598091</v>
      </c>
      <c r="AJ19" s="38">
        <v>11785</v>
      </c>
      <c r="AK19" s="26">
        <f t="shared" si="0"/>
        <v>106907070</v>
      </c>
      <c r="AL19" s="38">
        <v>7237201</v>
      </c>
      <c r="AM19" s="38">
        <v>0</v>
      </c>
      <c r="AN19" s="38">
        <v>11864629</v>
      </c>
      <c r="AO19" s="38">
        <v>215296</v>
      </c>
      <c r="AP19" s="38">
        <v>-275785</v>
      </c>
      <c r="AQ19" s="38">
        <v>0</v>
      </c>
      <c r="AR19" s="59">
        <v>46805096</v>
      </c>
      <c r="AS19" s="27">
        <f t="shared" si="1"/>
        <v>65846437</v>
      </c>
      <c r="AT19" s="26">
        <f t="shared" si="2"/>
        <v>172753507</v>
      </c>
      <c r="AU19" s="1">
        <v>172753507</v>
      </c>
      <c r="AV19" s="122">
        <f t="shared" si="3"/>
        <v>0</v>
      </c>
    </row>
    <row r="20" spans="1:48" ht="13.5" customHeight="1">
      <c r="A20" s="44" t="s">
        <v>59</v>
      </c>
      <c r="B20" s="15" t="s">
        <v>11</v>
      </c>
      <c r="C20" s="38">
        <v>119964</v>
      </c>
      <c r="D20" s="38">
        <v>117837</v>
      </c>
      <c r="E20" s="38">
        <v>334866</v>
      </c>
      <c r="F20" s="38">
        <v>19723</v>
      </c>
      <c r="G20" s="38">
        <v>88919</v>
      </c>
      <c r="H20" s="38">
        <v>1317287</v>
      </c>
      <c r="I20" s="109">
        <f>국산거래표_원본!I19-국산거래표_new!J20</f>
        <v>538166.75045775704</v>
      </c>
      <c r="J20" s="109">
        <f>IFERROR(국산거래표_원본!I19/'A표_총거래표(생산자)_원본'!I19*'A표_총거래표(생산자)_new'!J159,0)</f>
        <v>68.24954224298402</v>
      </c>
      <c r="K20" s="38">
        <v>144064</v>
      </c>
      <c r="L20" s="38">
        <v>569309</v>
      </c>
      <c r="M20" s="38">
        <v>2060178</v>
      </c>
      <c r="N20" s="38">
        <v>1167153</v>
      </c>
      <c r="O20" s="38">
        <v>972387</v>
      </c>
      <c r="P20" s="38">
        <v>22182412</v>
      </c>
      <c r="Q20" s="38">
        <v>5969212</v>
      </c>
      <c r="R20" s="38">
        <v>51273</v>
      </c>
      <c r="S20" s="38">
        <v>979601</v>
      </c>
      <c r="T20" s="38">
        <v>859710</v>
      </c>
      <c r="U20" s="38">
        <v>1136465</v>
      </c>
      <c r="V20" s="38">
        <v>9600020</v>
      </c>
      <c r="W20" s="38">
        <v>542204</v>
      </c>
      <c r="X20" s="38">
        <v>548706</v>
      </c>
      <c r="Y20" s="38">
        <v>369172</v>
      </c>
      <c r="Z20" s="38">
        <v>111131</v>
      </c>
      <c r="AA20" s="38">
        <v>34598</v>
      </c>
      <c r="AB20" s="38">
        <v>332187</v>
      </c>
      <c r="AC20" s="38">
        <v>1080369</v>
      </c>
      <c r="AD20" s="38">
        <v>352393</v>
      </c>
      <c r="AE20" s="38">
        <v>461943</v>
      </c>
      <c r="AF20" s="38">
        <v>365514</v>
      </c>
      <c r="AG20" s="38">
        <v>237250</v>
      </c>
      <c r="AH20" s="38">
        <v>150326</v>
      </c>
      <c r="AI20" s="38">
        <v>117885</v>
      </c>
      <c r="AJ20" s="38">
        <v>6506</v>
      </c>
      <c r="AK20" s="26">
        <f t="shared" si="0"/>
        <v>52938799</v>
      </c>
      <c r="AL20" s="38">
        <v>1869663</v>
      </c>
      <c r="AM20" s="38">
        <v>0</v>
      </c>
      <c r="AN20" s="38">
        <v>58927322</v>
      </c>
      <c r="AO20" s="38">
        <v>870711</v>
      </c>
      <c r="AP20" s="38">
        <v>141332</v>
      </c>
      <c r="AQ20" s="38">
        <v>0</v>
      </c>
      <c r="AR20" s="59">
        <v>70735546</v>
      </c>
      <c r="AS20" s="27">
        <f t="shared" si="1"/>
        <v>132544574</v>
      </c>
      <c r="AT20" s="26">
        <f t="shared" si="2"/>
        <v>185483373</v>
      </c>
      <c r="AU20" s="1">
        <v>185483373</v>
      </c>
      <c r="AV20" s="122">
        <f t="shared" si="3"/>
        <v>0</v>
      </c>
    </row>
    <row r="21" spans="1:48" ht="13.5" customHeight="1">
      <c r="A21" s="44" t="s">
        <v>60</v>
      </c>
      <c r="B21" s="15" t="s">
        <v>12</v>
      </c>
      <c r="C21" s="38">
        <v>213847</v>
      </c>
      <c r="D21" s="38">
        <v>171711</v>
      </c>
      <c r="E21" s="38">
        <v>36186</v>
      </c>
      <c r="F21" s="38">
        <v>12701</v>
      </c>
      <c r="G21" s="38">
        <v>88374</v>
      </c>
      <c r="H21" s="38">
        <v>261261</v>
      </c>
      <c r="I21" s="109">
        <f>국산거래표_원본!I20-국산거래표_new!J21</f>
        <v>279294.48103265319</v>
      </c>
      <c r="J21" s="109">
        <f>IFERROR(국산거래표_원본!I20/'A표_총거래표(생산자)_원본'!I20*'A표_총거래표(생산자)_new'!J160,0)</f>
        <v>0.51896734681592149</v>
      </c>
      <c r="K21" s="38">
        <v>197536</v>
      </c>
      <c r="L21" s="38">
        <v>166976</v>
      </c>
      <c r="M21" s="38">
        <v>258546</v>
      </c>
      <c r="N21" s="38">
        <v>9060</v>
      </c>
      <c r="O21" s="38">
        <v>56746</v>
      </c>
      <c r="P21" s="38">
        <v>607062</v>
      </c>
      <c r="Q21" s="38">
        <v>85941288</v>
      </c>
      <c r="R21" s="38">
        <v>18199</v>
      </c>
      <c r="S21" s="38">
        <v>3596007</v>
      </c>
      <c r="T21" s="38">
        <v>152955</v>
      </c>
      <c r="U21" s="38">
        <v>574827</v>
      </c>
      <c r="V21" s="38">
        <v>36994</v>
      </c>
      <c r="W21" s="38">
        <v>676094</v>
      </c>
      <c r="X21" s="38">
        <v>5802816</v>
      </c>
      <c r="Y21" s="38">
        <v>176677</v>
      </c>
      <c r="Z21" s="38">
        <v>148680</v>
      </c>
      <c r="AA21" s="38">
        <v>22514</v>
      </c>
      <c r="AB21" s="38">
        <v>43065</v>
      </c>
      <c r="AC21" s="38">
        <v>3443469</v>
      </c>
      <c r="AD21" s="38">
        <v>870272</v>
      </c>
      <c r="AE21" s="38">
        <v>3044780</v>
      </c>
      <c r="AF21" s="38">
        <v>164850</v>
      </c>
      <c r="AG21" s="38">
        <v>225145</v>
      </c>
      <c r="AH21" s="38">
        <v>107934</v>
      </c>
      <c r="AI21" s="38">
        <v>7383428</v>
      </c>
      <c r="AJ21" s="38">
        <v>7888</v>
      </c>
      <c r="AK21" s="26">
        <f t="shared" si="0"/>
        <v>114797183</v>
      </c>
      <c r="AL21" s="38">
        <v>27191743</v>
      </c>
      <c r="AM21" s="38">
        <v>0</v>
      </c>
      <c r="AN21" s="38">
        <v>27262017</v>
      </c>
      <c r="AO21" s="38">
        <v>7744150</v>
      </c>
      <c r="AP21" s="38">
        <v>2783078</v>
      </c>
      <c r="AQ21" s="38">
        <v>0</v>
      </c>
      <c r="AR21" s="59">
        <v>157357500</v>
      </c>
      <c r="AS21" s="27">
        <f t="shared" si="1"/>
        <v>222338488</v>
      </c>
      <c r="AT21" s="26">
        <f t="shared" si="2"/>
        <v>337135671</v>
      </c>
      <c r="AU21" s="1">
        <v>337135671</v>
      </c>
      <c r="AV21" s="122">
        <f t="shared" si="3"/>
        <v>0</v>
      </c>
    </row>
    <row r="22" spans="1:48" ht="13.5" customHeight="1">
      <c r="A22" s="44" t="s">
        <v>61</v>
      </c>
      <c r="B22" s="15" t="s">
        <v>62</v>
      </c>
      <c r="C22" s="38">
        <v>12883</v>
      </c>
      <c r="D22" s="38">
        <v>4340</v>
      </c>
      <c r="E22" s="38">
        <v>261942</v>
      </c>
      <c r="F22" s="38">
        <v>84822</v>
      </c>
      <c r="G22" s="38">
        <v>46782</v>
      </c>
      <c r="H22" s="38">
        <v>19103</v>
      </c>
      <c r="I22" s="109">
        <f>국산거래표_원본!I21-국산거래표_new!J22</f>
        <v>46087.933021433208</v>
      </c>
      <c r="J22" s="109">
        <f>IFERROR(국산거래표_원본!I21/'A표_총거래표(생산자)_원본'!I21*'A표_총거래표(생산자)_new'!J161,0)</f>
        <v>6.697856679239278E-2</v>
      </c>
      <c r="K22" s="38">
        <v>9357</v>
      </c>
      <c r="L22" s="38">
        <v>32048</v>
      </c>
      <c r="M22" s="38">
        <v>123981</v>
      </c>
      <c r="N22" s="38">
        <v>34360</v>
      </c>
      <c r="O22" s="38">
        <v>34542</v>
      </c>
      <c r="P22" s="38">
        <v>58462</v>
      </c>
      <c r="Q22" s="38">
        <v>16222</v>
      </c>
      <c r="R22" s="38">
        <v>706299</v>
      </c>
      <c r="S22" s="38">
        <v>182143</v>
      </c>
      <c r="T22" s="38">
        <v>14456</v>
      </c>
      <c r="U22" s="38">
        <v>181944</v>
      </c>
      <c r="V22" s="38">
        <v>2335576</v>
      </c>
      <c r="W22" s="38">
        <v>865732</v>
      </c>
      <c r="X22" s="38">
        <v>190609</v>
      </c>
      <c r="Y22" s="38">
        <v>2667750</v>
      </c>
      <c r="Z22" s="38">
        <v>438488</v>
      </c>
      <c r="AA22" s="38">
        <v>202496</v>
      </c>
      <c r="AB22" s="38">
        <v>982041</v>
      </c>
      <c r="AC22" s="38">
        <v>1903679</v>
      </c>
      <c r="AD22" s="38">
        <v>917460</v>
      </c>
      <c r="AE22" s="38">
        <v>580478</v>
      </c>
      <c r="AF22" s="38">
        <v>2190498</v>
      </c>
      <c r="AG22" s="38">
        <v>745185</v>
      </c>
      <c r="AH22" s="38">
        <v>981464</v>
      </c>
      <c r="AI22" s="38">
        <v>787810</v>
      </c>
      <c r="AJ22" s="38">
        <v>11875</v>
      </c>
      <c r="AK22" s="26">
        <f t="shared" si="0"/>
        <v>17670915</v>
      </c>
      <c r="AL22" s="38">
        <v>4280986</v>
      </c>
      <c r="AM22" s="38">
        <v>0</v>
      </c>
      <c r="AN22" s="38">
        <v>3116566</v>
      </c>
      <c r="AO22" s="38">
        <v>132525</v>
      </c>
      <c r="AP22" s="38">
        <v>72229</v>
      </c>
      <c r="AQ22" s="38">
        <v>675049</v>
      </c>
      <c r="AR22" s="59">
        <v>2994999</v>
      </c>
      <c r="AS22" s="27">
        <f t="shared" si="1"/>
        <v>11272354</v>
      </c>
      <c r="AT22" s="26">
        <f t="shared" si="2"/>
        <v>28943269</v>
      </c>
      <c r="AU22" s="1">
        <v>28943269</v>
      </c>
      <c r="AV22" s="122">
        <f t="shared" si="3"/>
        <v>0</v>
      </c>
    </row>
    <row r="23" spans="1:48" ht="13.5" customHeight="1">
      <c r="A23" s="44" t="s">
        <v>63</v>
      </c>
      <c r="B23" s="15" t="s">
        <v>64</v>
      </c>
      <c r="C23" s="38">
        <v>242070</v>
      </c>
      <c r="D23" s="38">
        <v>152155</v>
      </c>
      <c r="E23" s="38">
        <v>5468124</v>
      </c>
      <c r="F23" s="38">
        <v>4548177</v>
      </c>
      <c r="G23" s="38">
        <v>1783760</v>
      </c>
      <c r="H23" s="38">
        <v>435565</v>
      </c>
      <c r="I23" s="109">
        <f>국산거래표_원본!I22-국산거래표_new!J23</f>
        <v>8923526.2039155979</v>
      </c>
      <c r="J23" s="109">
        <f>IFERROR(국산거래표_원본!I22/'A표_총거래표(생산자)_원본'!I22*'A표_총거래표(생산자)_new'!J162,0)</f>
        <v>16.796084401571953</v>
      </c>
      <c r="K23" s="38">
        <v>1365058</v>
      </c>
      <c r="L23" s="38">
        <v>4087957</v>
      </c>
      <c r="M23" s="38">
        <v>5725936</v>
      </c>
      <c r="N23" s="38">
        <v>15515210</v>
      </c>
      <c r="O23" s="38">
        <v>4717672</v>
      </c>
      <c r="P23" s="38">
        <v>11881659</v>
      </c>
      <c r="Q23" s="38">
        <v>8294914</v>
      </c>
      <c r="R23" s="38">
        <v>1871498</v>
      </c>
      <c r="S23" s="38">
        <v>12334112</v>
      </c>
      <c r="T23" s="38">
        <v>411980</v>
      </c>
      <c r="U23" s="38">
        <v>403424</v>
      </c>
      <c r="V23" s="38">
        <v>190115</v>
      </c>
      <c r="W23" s="38">
        <v>524872</v>
      </c>
      <c r="X23" s="38">
        <v>87915</v>
      </c>
      <c r="Y23" s="38">
        <v>119377</v>
      </c>
      <c r="Z23" s="38">
        <v>257459</v>
      </c>
      <c r="AA23" s="38">
        <v>52047</v>
      </c>
      <c r="AB23" s="38">
        <v>76140</v>
      </c>
      <c r="AC23" s="38">
        <v>312264</v>
      </c>
      <c r="AD23" s="38">
        <v>1017368</v>
      </c>
      <c r="AE23" s="38">
        <v>230979</v>
      </c>
      <c r="AF23" s="38">
        <v>285366</v>
      </c>
      <c r="AG23" s="38">
        <v>1116365</v>
      </c>
      <c r="AH23" s="38">
        <v>128510</v>
      </c>
      <c r="AI23" s="38">
        <v>55174</v>
      </c>
      <c r="AJ23" s="38">
        <v>1492</v>
      </c>
      <c r="AK23" s="26">
        <f t="shared" si="0"/>
        <v>92618257</v>
      </c>
      <c r="AL23" s="38">
        <v>28773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59">
        <v>4155270</v>
      </c>
      <c r="AS23" s="27">
        <f t="shared" si="1"/>
        <v>4184043</v>
      </c>
      <c r="AT23" s="26">
        <f t="shared" si="2"/>
        <v>96802300</v>
      </c>
      <c r="AU23" s="1">
        <v>96802300</v>
      </c>
      <c r="AV23" s="122">
        <f t="shared" si="3"/>
        <v>0</v>
      </c>
    </row>
    <row r="24" spans="1:48" ht="13.5" customHeight="1">
      <c r="A24" s="44" t="s">
        <v>65</v>
      </c>
      <c r="B24" s="15" t="s">
        <v>13</v>
      </c>
      <c r="C24" s="38">
        <v>1767890</v>
      </c>
      <c r="D24" s="38">
        <v>309519</v>
      </c>
      <c r="E24" s="38">
        <v>3418319</v>
      </c>
      <c r="F24" s="38">
        <v>1482483</v>
      </c>
      <c r="G24" s="38">
        <v>2587936</v>
      </c>
      <c r="H24" s="38">
        <v>4697485</v>
      </c>
      <c r="I24" s="109">
        <f>국산거래표_원본!I23-국산거래표_new!J24</f>
        <v>13643814.007211694</v>
      </c>
      <c r="J24" s="109">
        <f>IFERROR(국산거래표_원본!I23/'A표_총거래표(생산자)_원본'!I23*'A표_총거래표(생산자)_new'!J163,0)</f>
        <v>199.99278830615049</v>
      </c>
      <c r="K24" s="38">
        <v>2510456</v>
      </c>
      <c r="L24" s="38">
        <v>13713215</v>
      </c>
      <c r="M24" s="38">
        <v>1874656</v>
      </c>
      <c r="N24" s="38">
        <v>10769050</v>
      </c>
      <c r="O24" s="38">
        <v>1764943</v>
      </c>
      <c r="P24" s="38">
        <v>2141547</v>
      </c>
      <c r="Q24" s="38">
        <v>4949973</v>
      </c>
      <c r="R24" s="38">
        <v>197777</v>
      </c>
      <c r="S24" s="38">
        <v>810328</v>
      </c>
      <c r="T24" s="38">
        <v>25782760</v>
      </c>
      <c r="U24" s="38">
        <v>909490</v>
      </c>
      <c r="V24" s="38">
        <v>748789</v>
      </c>
      <c r="W24" s="38">
        <v>3749233</v>
      </c>
      <c r="X24" s="38">
        <v>3699416</v>
      </c>
      <c r="Y24" s="38">
        <v>1395457</v>
      </c>
      <c r="Z24" s="38">
        <v>1207123</v>
      </c>
      <c r="AA24" s="38">
        <v>1004496</v>
      </c>
      <c r="AB24" s="38">
        <v>2119621</v>
      </c>
      <c r="AC24" s="38">
        <v>6920859</v>
      </c>
      <c r="AD24" s="38">
        <v>477469</v>
      </c>
      <c r="AE24" s="38">
        <v>972317</v>
      </c>
      <c r="AF24" s="38">
        <v>3465832</v>
      </c>
      <c r="AG24" s="38">
        <v>1954483</v>
      </c>
      <c r="AH24" s="38">
        <v>920769</v>
      </c>
      <c r="AI24" s="38">
        <v>777356</v>
      </c>
      <c r="AJ24" s="38">
        <v>2523</v>
      </c>
      <c r="AK24" s="26">
        <f t="shared" si="0"/>
        <v>122747584</v>
      </c>
      <c r="AL24" s="38">
        <v>28767710</v>
      </c>
      <c r="AM24" s="38">
        <v>0</v>
      </c>
      <c r="AN24" s="38">
        <v>0</v>
      </c>
      <c r="AO24" s="38">
        <v>0</v>
      </c>
      <c r="AP24" s="38">
        <v>0</v>
      </c>
      <c r="AQ24" s="38">
        <v>0</v>
      </c>
      <c r="AR24" s="59">
        <v>163506</v>
      </c>
      <c r="AS24" s="27">
        <f t="shared" si="1"/>
        <v>28931216</v>
      </c>
      <c r="AT24" s="26">
        <f t="shared" si="2"/>
        <v>151678800</v>
      </c>
      <c r="AU24" s="1">
        <v>151678800</v>
      </c>
      <c r="AV24" s="122">
        <f t="shared" si="3"/>
        <v>0</v>
      </c>
    </row>
    <row r="25" spans="1:48" ht="13.5" customHeight="1">
      <c r="A25" s="44" t="s">
        <v>66</v>
      </c>
      <c r="B25" s="15" t="s">
        <v>67</v>
      </c>
      <c r="C25" s="38">
        <v>88754</v>
      </c>
      <c r="D25" s="38">
        <v>14541</v>
      </c>
      <c r="E25" s="38">
        <v>824440</v>
      </c>
      <c r="F25" s="38">
        <v>385219</v>
      </c>
      <c r="G25" s="38">
        <v>574971</v>
      </c>
      <c r="H25" s="38">
        <v>129968</v>
      </c>
      <c r="I25" s="109">
        <f>국산거래표_원본!I24-국산거래표_new!J25</f>
        <v>4912926.1350689828</v>
      </c>
      <c r="J25" s="109">
        <f>IFERROR(국산거래표_원본!I24/'A표_총거래표(생산자)_원본'!I24*'A표_총거래표(생산자)_new'!J164,0)</f>
        <v>9.864931016748395</v>
      </c>
      <c r="K25" s="38">
        <v>637377</v>
      </c>
      <c r="L25" s="38">
        <v>5185320</v>
      </c>
      <c r="M25" s="38">
        <v>902901</v>
      </c>
      <c r="N25" s="38">
        <v>234104</v>
      </c>
      <c r="O25" s="38">
        <v>280883</v>
      </c>
      <c r="P25" s="38">
        <v>741747</v>
      </c>
      <c r="Q25" s="38">
        <v>458995</v>
      </c>
      <c r="R25" s="38">
        <v>55026</v>
      </c>
      <c r="S25" s="38">
        <v>254955</v>
      </c>
      <c r="T25" s="38">
        <v>331275</v>
      </c>
      <c r="U25" s="38">
        <v>2230994</v>
      </c>
      <c r="V25" s="38">
        <v>340917</v>
      </c>
      <c r="W25" s="38">
        <v>163206</v>
      </c>
      <c r="X25" s="38">
        <v>461718</v>
      </c>
      <c r="Y25" s="38">
        <v>2857442</v>
      </c>
      <c r="Z25" s="38">
        <v>358863</v>
      </c>
      <c r="AA25" s="38">
        <v>300729</v>
      </c>
      <c r="AB25" s="38">
        <v>2562049</v>
      </c>
      <c r="AC25" s="38">
        <v>1004062</v>
      </c>
      <c r="AD25" s="38">
        <v>451563</v>
      </c>
      <c r="AE25" s="38">
        <v>1001929</v>
      </c>
      <c r="AF25" s="38">
        <v>1376636</v>
      </c>
      <c r="AG25" s="38">
        <v>1962096</v>
      </c>
      <c r="AH25" s="38">
        <v>419661</v>
      </c>
      <c r="AI25" s="38">
        <v>625464</v>
      </c>
      <c r="AJ25" s="38">
        <v>8234</v>
      </c>
      <c r="AK25" s="26">
        <f t="shared" si="0"/>
        <v>32138975</v>
      </c>
      <c r="AL25" s="38">
        <v>5580215</v>
      </c>
      <c r="AM25" s="38">
        <v>3376692</v>
      </c>
      <c r="AN25" s="38">
        <v>0</v>
      </c>
      <c r="AO25" s="38">
        <v>0</v>
      </c>
      <c r="AP25" s="38">
        <v>0</v>
      </c>
      <c r="AQ25" s="38">
        <v>0</v>
      </c>
      <c r="AR25" s="59">
        <v>703138</v>
      </c>
      <c r="AS25" s="27">
        <f t="shared" si="1"/>
        <v>9660045</v>
      </c>
      <c r="AT25" s="26">
        <f t="shared" si="2"/>
        <v>41799020</v>
      </c>
      <c r="AU25" s="1">
        <v>41799020</v>
      </c>
      <c r="AV25" s="122">
        <f t="shared" si="3"/>
        <v>0</v>
      </c>
    </row>
    <row r="26" spans="1:48" ht="13.5" customHeight="1">
      <c r="A26" s="44" t="s">
        <v>68</v>
      </c>
      <c r="B26" s="15" t="s">
        <v>14</v>
      </c>
      <c r="C26" s="38">
        <v>88514</v>
      </c>
      <c r="D26" s="38">
        <v>32490</v>
      </c>
      <c r="E26" s="38">
        <v>115964</v>
      </c>
      <c r="F26" s="38">
        <v>17981</v>
      </c>
      <c r="G26" s="38">
        <v>52301</v>
      </c>
      <c r="H26" s="38">
        <v>105287</v>
      </c>
      <c r="I26" s="109">
        <f>국산거래표_원본!I25-국산거래표_new!J26</f>
        <v>239145.51869645674</v>
      </c>
      <c r="J26" s="109">
        <f>IFERROR(국산거래표_원본!I25/'A표_총거래표(생산자)_원본'!I25*'A표_총거래표(생산자)_new'!J165,0)</f>
        <v>0.48130354325399705</v>
      </c>
      <c r="K26" s="38">
        <v>35374</v>
      </c>
      <c r="L26" s="38">
        <v>173084</v>
      </c>
      <c r="M26" s="38">
        <v>142250</v>
      </c>
      <c r="N26" s="38">
        <v>79627</v>
      </c>
      <c r="O26" s="38">
        <v>106790</v>
      </c>
      <c r="P26" s="38">
        <v>86476</v>
      </c>
      <c r="Q26" s="38">
        <v>23168</v>
      </c>
      <c r="R26" s="38">
        <v>15431</v>
      </c>
      <c r="S26" s="38">
        <v>19997</v>
      </c>
      <c r="T26" s="38">
        <v>294042</v>
      </c>
      <c r="U26" s="38">
        <v>116218</v>
      </c>
      <c r="V26" s="38">
        <v>22772</v>
      </c>
      <c r="W26" s="38">
        <v>382154</v>
      </c>
      <c r="X26" s="38">
        <v>135823</v>
      </c>
      <c r="Y26" s="38">
        <v>862064</v>
      </c>
      <c r="Z26" s="38">
        <v>378330</v>
      </c>
      <c r="AA26" s="38">
        <v>59155</v>
      </c>
      <c r="AB26" s="38">
        <v>18831564</v>
      </c>
      <c r="AC26" s="38">
        <v>837373</v>
      </c>
      <c r="AD26" s="38">
        <v>366211</v>
      </c>
      <c r="AE26" s="38">
        <v>848928</v>
      </c>
      <c r="AF26" s="38">
        <v>169025</v>
      </c>
      <c r="AG26" s="38">
        <v>98138</v>
      </c>
      <c r="AH26" s="38">
        <v>151080</v>
      </c>
      <c r="AI26" s="38">
        <v>166440</v>
      </c>
      <c r="AJ26" s="38">
        <v>8090</v>
      </c>
      <c r="AK26" s="26">
        <f t="shared" si="0"/>
        <v>25061287</v>
      </c>
      <c r="AL26" s="38">
        <v>0</v>
      </c>
      <c r="AM26" s="38">
        <v>0</v>
      </c>
      <c r="AN26" s="38">
        <v>239341758</v>
      </c>
      <c r="AO26" s="38">
        <v>75543183</v>
      </c>
      <c r="AP26" s="38">
        <v>2120576</v>
      </c>
      <c r="AQ26" s="38">
        <v>0</v>
      </c>
      <c r="AR26" s="59">
        <v>171495</v>
      </c>
      <c r="AS26" s="27">
        <f t="shared" si="1"/>
        <v>317177012</v>
      </c>
      <c r="AT26" s="26">
        <f t="shared" si="2"/>
        <v>342238299</v>
      </c>
      <c r="AU26" s="1">
        <v>342238299</v>
      </c>
      <c r="AV26" s="122">
        <f t="shared" si="3"/>
        <v>0</v>
      </c>
    </row>
    <row r="27" spans="1:48" ht="13.5" customHeight="1">
      <c r="A27" s="44" t="s">
        <v>69</v>
      </c>
      <c r="B27" s="15" t="s">
        <v>70</v>
      </c>
      <c r="C27" s="38">
        <v>4007953</v>
      </c>
      <c r="D27" s="38">
        <v>92087</v>
      </c>
      <c r="E27" s="38">
        <v>13351786</v>
      </c>
      <c r="F27" s="38">
        <v>6052387</v>
      </c>
      <c r="G27" s="38">
        <v>3433466</v>
      </c>
      <c r="H27" s="38">
        <v>1889201</v>
      </c>
      <c r="I27" s="109">
        <f>국산거래표_원본!I26-국산거래표_new!J27</f>
        <v>15507132.30401141</v>
      </c>
      <c r="J27" s="109">
        <f>IFERROR(국산거래표_원본!I26/'A표_총거래표(생산자)_원본'!I26*'A표_총거래표(생산자)_new'!J166,0)</f>
        <v>29.695988590768611</v>
      </c>
      <c r="K27" s="38">
        <v>2144353</v>
      </c>
      <c r="L27" s="38">
        <v>4334001</v>
      </c>
      <c r="M27" s="38">
        <v>4542835</v>
      </c>
      <c r="N27" s="38">
        <v>11960506</v>
      </c>
      <c r="O27" s="38">
        <v>7306598</v>
      </c>
      <c r="P27" s="38">
        <v>7349893</v>
      </c>
      <c r="Q27" s="38">
        <v>13811183</v>
      </c>
      <c r="R27" s="38">
        <v>2479303</v>
      </c>
      <c r="S27" s="38">
        <v>2354859</v>
      </c>
      <c r="T27" s="38">
        <v>3488014</v>
      </c>
      <c r="U27" s="38">
        <v>1036187</v>
      </c>
      <c r="V27" s="38">
        <v>12290230</v>
      </c>
      <c r="W27" s="38">
        <v>17830697</v>
      </c>
      <c r="X27" s="38">
        <v>3285454</v>
      </c>
      <c r="Y27" s="38">
        <v>17102271</v>
      </c>
      <c r="Z27" s="38">
        <v>8887293</v>
      </c>
      <c r="AA27" s="38">
        <v>531826</v>
      </c>
      <c r="AB27" s="38">
        <v>770804</v>
      </c>
      <c r="AC27" s="38">
        <v>6778599</v>
      </c>
      <c r="AD27" s="38">
        <v>2559494</v>
      </c>
      <c r="AE27" s="38">
        <v>2232762</v>
      </c>
      <c r="AF27" s="38">
        <v>2519770</v>
      </c>
      <c r="AG27" s="38">
        <v>13510654</v>
      </c>
      <c r="AH27" s="38">
        <v>1882933</v>
      </c>
      <c r="AI27" s="38">
        <v>3576910</v>
      </c>
      <c r="AJ27" s="38">
        <v>43486</v>
      </c>
      <c r="AK27" s="26">
        <f t="shared" si="0"/>
        <v>198944957</v>
      </c>
      <c r="AL27" s="38">
        <v>134942015</v>
      </c>
      <c r="AM27" s="38">
        <v>0</v>
      </c>
      <c r="AN27" s="38">
        <v>20207842</v>
      </c>
      <c r="AO27" s="38">
        <v>1806222</v>
      </c>
      <c r="AP27" s="38">
        <v>582671</v>
      </c>
      <c r="AQ27" s="38">
        <v>578417</v>
      </c>
      <c r="AR27" s="59">
        <v>39426548</v>
      </c>
      <c r="AS27" s="27">
        <f t="shared" si="1"/>
        <v>197543715</v>
      </c>
      <c r="AT27" s="26">
        <f t="shared" si="2"/>
        <v>396488672</v>
      </c>
      <c r="AU27" s="1">
        <v>396488672</v>
      </c>
      <c r="AV27" s="122">
        <f t="shared" si="3"/>
        <v>0</v>
      </c>
    </row>
    <row r="28" spans="1:48" ht="13.5" customHeight="1">
      <c r="A28" s="44" t="s">
        <v>71</v>
      </c>
      <c r="B28" s="15" t="s">
        <v>42</v>
      </c>
      <c r="C28" s="38">
        <v>1455484</v>
      </c>
      <c r="D28" s="38">
        <v>789367</v>
      </c>
      <c r="E28" s="38">
        <v>6273700</v>
      </c>
      <c r="F28" s="38">
        <v>2640759</v>
      </c>
      <c r="G28" s="38">
        <v>2354866</v>
      </c>
      <c r="H28" s="38">
        <v>1689436</v>
      </c>
      <c r="I28" s="109">
        <f>국산거래표_원본!I27-국산거래표_new!J28</f>
        <v>11547459.182369038</v>
      </c>
      <c r="J28" s="109">
        <f>IFERROR(국산거래표_원본!I27/'A표_총거래표(생산자)_원본'!I27*'A표_총거래표(생산자)_new'!J167,0)</f>
        <v>22.817630960924717</v>
      </c>
      <c r="K28" s="38">
        <v>5731587</v>
      </c>
      <c r="L28" s="38">
        <v>5283933</v>
      </c>
      <c r="M28" s="38">
        <v>3743123</v>
      </c>
      <c r="N28" s="38">
        <v>4151680</v>
      </c>
      <c r="O28" s="38">
        <v>2781146</v>
      </c>
      <c r="P28" s="38">
        <v>4083581</v>
      </c>
      <c r="Q28" s="38">
        <v>3759161</v>
      </c>
      <c r="R28" s="38">
        <v>1057398</v>
      </c>
      <c r="S28" s="38">
        <v>1503045</v>
      </c>
      <c r="T28" s="38">
        <v>697742</v>
      </c>
      <c r="U28" s="38">
        <v>2965530</v>
      </c>
      <c r="V28" s="38">
        <v>3484132</v>
      </c>
      <c r="W28" s="38">
        <v>30039679</v>
      </c>
      <c r="X28" s="38">
        <v>16237106</v>
      </c>
      <c r="Y28" s="38">
        <v>3425013</v>
      </c>
      <c r="Z28" s="38">
        <v>1680955</v>
      </c>
      <c r="AA28" s="38">
        <v>688453</v>
      </c>
      <c r="AB28" s="38">
        <v>725680</v>
      </c>
      <c r="AC28" s="38">
        <v>4488288</v>
      </c>
      <c r="AD28" s="38">
        <v>2323723</v>
      </c>
      <c r="AE28" s="38">
        <v>2414910</v>
      </c>
      <c r="AF28" s="38">
        <v>759395</v>
      </c>
      <c r="AG28" s="38">
        <v>1630347</v>
      </c>
      <c r="AH28" s="38">
        <v>438351</v>
      </c>
      <c r="AI28" s="38">
        <v>1180388</v>
      </c>
      <c r="AJ28" s="38">
        <v>194310</v>
      </c>
      <c r="AK28" s="26">
        <f t="shared" si="0"/>
        <v>132219750</v>
      </c>
      <c r="AL28" s="38">
        <v>37086372</v>
      </c>
      <c r="AM28" s="38">
        <v>0</v>
      </c>
      <c r="AN28" s="38">
        <v>454497</v>
      </c>
      <c r="AO28" s="38">
        <v>177198</v>
      </c>
      <c r="AP28" s="38">
        <v>90062</v>
      </c>
      <c r="AQ28" s="38">
        <v>9663</v>
      </c>
      <c r="AR28" s="59">
        <v>51177729</v>
      </c>
      <c r="AS28" s="27">
        <f t="shared" si="1"/>
        <v>88995521</v>
      </c>
      <c r="AT28" s="26">
        <f t="shared" si="2"/>
        <v>221215271</v>
      </c>
      <c r="AU28" s="1">
        <v>221215271</v>
      </c>
      <c r="AV28" s="122">
        <f t="shared" si="3"/>
        <v>0</v>
      </c>
    </row>
    <row r="29" spans="1:48" ht="13.5" customHeight="1">
      <c r="A29" s="44" t="s">
        <v>72</v>
      </c>
      <c r="B29" s="15" t="s">
        <v>15</v>
      </c>
      <c r="C29" s="38">
        <v>424097</v>
      </c>
      <c r="D29" s="38">
        <v>114939</v>
      </c>
      <c r="E29" s="38">
        <v>688368</v>
      </c>
      <c r="F29" s="38">
        <v>535420</v>
      </c>
      <c r="G29" s="38">
        <v>554139</v>
      </c>
      <c r="H29" s="38">
        <v>256785</v>
      </c>
      <c r="I29" s="109">
        <f>국산거래표_원본!I28-국산거래표_new!J29</f>
        <v>1768685.6474230126</v>
      </c>
      <c r="J29" s="109">
        <f>IFERROR(국산거래표_원본!I28/'A표_총거래표(생산자)_원본'!I28*'A표_총거래표(생산자)_new'!J168,0)</f>
        <v>3.3525769872796798</v>
      </c>
      <c r="K29" s="38">
        <v>376524</v>
      </c>
      <c r="L29" s="38">
        <v>850978</v>
      </c>
      <c r="M29" s="38">
        <v>1140166</v>
      </c>
      <c r="N29" s="38">
        <v>1220025</v>
      </c>
      <c r="O29" s="38">
        <v>618338</v>
      </c>
      <c r="P29" s="38">
        <v>1345088</v>
      </c>
      <c r="Q29" s="38">
        <v>1189657</v>
      </c>
      <c r="R29" s="38">
        <v>242467</v>
      </c>
      <c r="S29" s="38">
        <v>2566712</v>
      </c>
      <c r="T29" s="38">
        <v>378590</v>
      </c>
      <c r="U29" s="38">
        <v>679143</v>
      </c>
      <c r="V29" s="38">
        <v>1082537</v>
      </c>
      <c r="W29" s="38">
        <v>15822946</v>
      </c>
      <c r="X29" s="38">
        <v>1893814</v>
      </c>
      <c r="Y29" s="38">
        <v>1411013</v>
      </c>
      <c r="Z29" s="38">
        <v>3245239</v>
      </c>
      <c r="AA29" s="38">
        <v>4183334</v>
      </c>
      <c r="AB29" s="38">
        <v>2609811</v>
      </c>
      <c r="AC29" s="38">
        <v>12575115</v>
      </c>
      <c r="AD29" s="38">
        <v>4648595</v>
      </c>
      <c r="AE29" s="38">
        <v>5512068</v>
      </c>
      <c r="AF29" s="38">
        <v>3957106</v>
      </c>
      <c r="AG29" s="38">
        <v>5414243</v>
      </c>
      <c r="AH29" s="38">
        <v>2187840</v>
      </c>
      <c r="AI29" s="38">
        <v>4900422</v>
      </c>
      <c r="AJ29" s="38">
        <v>7027</v>
      </c>
      <c r="AK29" s="26">
        <f t="shared" si="0"/>
        <v>84401235</v>
      </c>
      <c r="AL29" s="38">
        <v>128683063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59">
        <v>10651506</v>
      </c>
      <c r="AS29" s="27">
        <f t="shared" si="1"/>
        <v>139334569</v>
      </c>
      <c r="AT29" s="26">
        <f t="shared" si="2"/>
        <v>223735804</v>
      </c>
      <c r="AU29" s="1">
        <v>223735804</v>
      </c>
      <c r="AV29" s="122">
        <f t="shared" si="3"/>
        <v>0</v>
      </c>
    </row>
    <row r="30" spans="1:48" ht="13.5" customHeight="1">
      <c r="A30" s="44" t="s">
        <v>73</v>
      </c>
      <c r="B30" s="15" t="s">
        <v>16</v>
      </c>
      <c r="C30" s="38">
        <v>172238</v>
      </c>
      <c r="D30" s="38">
        <v>24981</v>
      </c>
      <c r="E30" s="38">
        <v>347152</v>
      </c>
      <c r="F30" s="38">
        <v>174507</v>
      </c>
      <c r="G30" s="38">
        <v>343027</v>
      </c>
      <c r="H30" s="38">
        <v>440735</v>
      </c>
      <c r="I30" s="109">
        <f>국산거래표_원본!I29-국산거래표_new!J30</f>
        <v>773214.63742365665</v>
      </c>
      <c r="J30" s="109">
        <f>IFERROR(국산거래표_원본!I29/'A표_총거래표(생산자)_원본'!I29*'A표_총거래표(생산자)_new'!J169,0)</f>
        <v>1.3625763432951568</v>
      </c>
      <c r="K30" s="38">
        <v>156745</v>
      </c>
      <c r="L30" s="38">
        <v>522733</v>
      </c>
      <c r="M30" s="38">
        <v>524241</v>
      </c>
      <c r="N30" s="38">
        <v>1159957</v>
      </c>
      <c r="O30" s="38">
        <v>400474</v>
      </c>
      <c r="P30" s="38">
        <v>579829</v>
      </c>
      <c r="Q30" s="38">
        <v>649040</v>
      </c>
      <c r="R30" s="38">
        <v>264949</v>
      </c>
      <c r="S30" s="38">
        <v>519495</v>
      </c>
      <c r="T30" s="38">
        <v>158213</v>
      </c>
      <c r="U30" s="38">
        <v>503736</v>
      </c>
      <c r="V30" s="38">
        <v>791609</v>
      </c>
      <c r="W30" s="38">
        <v>10249934</v>
      </c>
      <c r="X30" s="38">
        <v>2143065</v>
      </c>
      <c r="Y30" s="38">
        <v>2352228</v>
      </c>
      <c r="Z30" s="38">
        <v>27383951</v>
      </c>
      <c r="AA30" s="38">
        <v>9040871</v>
      </c>
      <c r="AB30" s="38">
        <v>1261448</v>
      </c>
      <c r="AC30" s="38">
        <v>22222069</v>
      </c>
      <c r="AD30" s="38">
        <v>2632221</v>
      </c>
      <c r="AE30" s="38">
        <v>3894169</v>
      </c>
      <c r="AF30" s="38">
        <v>4281654</v>
      </c>
      <c r="AG30" s="38">
        <v>1498712</v>
      </c>
      <c r="AH30" s="38">
        <v>3918781</v>
      </c>
      <c r="AI30" s="38">
        <v>1497188</v>
      </c>
      <c r="AJ30" s="38">
        <v>33594</v>
      </c>
      <c r="AK30" s="26">
        <f t="shared" si="0"/>
        <v>100916762</v>
      </c>
      <c r="AL30" s="38">
        <v>53433861</v>
      </c>
      <c r="AM30" s="38">
        <v>0</v>
      </c>
      <c r="AN30" s="38">
        <v>41661077</v>
      </c>
      <c r="AO30" s="38">
        <v>768992</v>
      </c>
      <c r="AP30" s="38">
        <v>36600</v>
      </c>
      <c r="AQ30" s="38">
        <v>0</v>
      </c>
      <c r="AR30" s="59">
        <v>21485525</v>
      </c>
      <c r="AS30" s="27">
        <f t="shared" si="1"/>
        <v>117386055</v>
      </c>
      <c r="AT30" s="26">
        <f t="shared" si="2"/>
        <v>218302817</v>
      </c>
      <c r="AU30" s="1">
        <v>218302817</v>
      </c>
      <c r="AV30" s="122">
        <f t="shared" si="3"/>
        <v>0</v>
      </c>
    </row>
    <row r="31" spans="1:48" ht="13.5" customHeight="1">
      <c r="A31" s="44" t="s">
        <v>74</v>
      </c>
      <c r="B31" s="15" t="s">
        <v>17</v>
      </c>
      <c r="C31" s="38">
        <v>1146661</v>
      </c>
      <c r="D31" s="38">
        <v>62008</v>
      </c>
      <c r="E31" s="38">
        <v>1794802</v>
      </c>
      <c r="F31" s="38">
        <v>1056287</v>
      </c>
      <c r="G31" s="38">
        <v>827984</v>
      </c>
      <c r="H31" s="38">
        <v>1164180</v>
      </c>
      <c r="I31" s="109">
        <f>국산거래표_원본!I30-국산거래표_new!J31</f>
        <v>4095201.9214240625</v>
      </c>
      <c r="J31" s="109">
        <f>IFERROR(국산거래표_원본!I30/'A표_총거래표(생산자)_원본'!I30*'A표_총거래표(생산자)_new'!J170,0)</f>
        <v>8.0785759373224675</v>
      </c>
      <c r="K31" s="38">
        <v>666788</v>
      </c>
      <c r="L31" s="38">
        <v>1685705</v>
      </c>
      <c r="M31" s="38">
        <v>1789493</v>
      </c>
      <c r="N31" s="38">
        <v>2896363</v>
      </c>
      <c r="O31" s="38">
        <v>1668226</v>
      </c>
      <c r="P31" s="38">
        <v>2589161</v>
      </c>
      <c r="Q31" s="38">
        <v>2950270</v>
      </c>
      <c r="R31" s="38">
        <v>369823</v>
      </c>
      <c r="S31" s="38">
        <v>666125</v>
      </c>
      <c r="T31" s="38">
        <v>1492471</v>
      </c>
      <c r="U31" s="38">
        <v>701871</v>
      </c>
      <c r="V31" s="38">
        <v>4524872</v>
      </c>
      <c r="W31" s="38">
        <v>9135793</v>
      </c>
      <c r="X31" s="38">
        <v>2625869</v>
      </c>
      <c r="Y31" s="38">
        <v>3543467</v>
      </c>
      <c r="Z31" s="38">
        <v>2430070</v>
      </c>
      <c r="AA31" s="38">
        <v>39388985</v>
      </c>
      <c r="AB31" s="38">
        <v>20486325</v>
      </c>
      <c r="AC31" s="38">
        <v>3389051</v>
      </c>
      <c r="AD31" s="38">
        <v>1543899</v>
      </c>
      <c r="AE31" s="38">
        <v>4108689</v>
      </c>
      <c r="AF31" s="38">
        <v>3027823</v>
      </c>
      <c r="AG31" s="38">
        <v>4383527</v>
      </c>
      <c r="AH31" s="38">
        <v>1135275</v>
      </c>
      <c r="AI31" s="38">
        <v>1793215</v>
      </c>
      <c r="AJ31" s="38">
        <v>0</v>
      </c>
      <c r="AK31" s="26">
        <f t="shared" si="0"/>
        <v>129140288</v>
      </c>
      <c r="AL31" s="38">
        <v>92470217</v>
      </c>
      <c r="AM31" s="38">
        <v>149222</v>
      </c>
      <c r="AN31" s="38">
        <v>0</v>
      </c>
      <c r="AO31" s="38">
        <v>0</v>
      </c>
      <c r="AP31" s="38">
        <v>0</v>
      </c>
      <c r="AQ31" s="38">
        <v>0</v>
      </c>
      <c r="AR31" s="59">
        <v>9183457</v>
      </c>
      <c r="AS31" s="27">
        <f t="shared" si="1"/>
        <v>101802896</v>
      </c>
      <c r="AT31" s="26">
        <f t="shared" si="2"/>
        <v>230943184</v>
      </c>
      <c r="AU31" s="1">
        <v>230943184</v>
      </c>
      <c r="AV31" s="122">
        <f t="shared" si="3"/>
        <v>0</v>
      </c>
    </row>
    <row r="32" spans="1:48" ht="13.5" customHeight="1">
      <c r="A32" s="44" t="s">
        <v>75</v>
      </c>
      <c r="B32" s="15" t="s">
        <v>76</v>
      </c>
      <c r="C32" s="38">
        <v>35759</v>
      </c>
      <c r="D32" s="38">
        <v>6517</v>
      </c>
      <c r="E32" s="38">
        <v>354119</v>
      </c>
      <c r="F32" s="38">
        <v>277677</v>
      </c>
      <c r="G32" s="38">
        <v>193890</v>
      </c>
      <c r="H32" s="38">
        <v>120025</v>
      </c>
      <c r="I32" s="109">
        <f>국산거래표_원본!I31-국산거래표_new!J32</f>
        <v>459032.10979272652</v>
      </c>
      <c r="J32" s="109">
        <f>IFERROR(국산거래표_원본!I31/'A표_총거래표(생산자)_원본'!I31*'A표_총거래표(생산자)_new'!J171,0)</f>
        <v>0.89020727346586781</v>
      </c>
      <c r="K32" s="38">
        <v>68453</v>
      </c>
      <c r="L32" s="38">
        <v>207411</v>
      </c>
      <c r="M32" s="38">
        <v>211350</v>
      </c>
      <c r="N32" s="38">
        <v>338577</v>
      </c>
      <c r="O32" s="38">
        <v>330180</v>
      </c>
      <c r="P32" s="38">
        <v>206296</v>
      </c>
      <c r="Q32" s="38">
        <v>296000</v>
      </c>
      <c r="R32" s="38">
        <v>144166</v>
      </c>
      <c r="S32" s="38">
        <v>448247</v>
      </c>
      <c r="T32" s="38">
        <v>73958</v>
      </c>
      <c r="U32" s="38">
        <v>540248</v>
      </c>
      <c r="V32" s="38">
        <v>532682</v>
      </c>
      <c r="W32" s="38">
        <v>19348303</v>
      </c>
      <c r="X32" s="38">
        <v>1777920</v>
      </c>
      <c r="Y32" s="38">
        <v>10689611</v>
      </c>
      <c r="Z32" s="38">
        <v>2195273</v>
      </c>
      <c r="AA32" s="38">
        <v>3782290</v>
      </c>
      <c r="AB32" s="38">
        <v>7889252</v>
      </c>
      <c r="AC32" s="38">
        <v>9116611</v>
      </c>
      <c r="AD32" s="38">
        <v>2161080</v>
      </c>
      <c r="AE32" s="38">
        <v>443079</v>
      </c>
      <c r="AF32" s="38">
        <v>3879704</v>
      </c>
      <c r="AG32" s="38">
        <v>4077403</v>
      </c>
      <c r="AH32" s="38">
        <v>629764</v>
      </c>
      <c r="AI32" s="38">
        <v>1823705</v>
      </c>
      <c r="AJ32" s="38">
        <v>3335</v>
      </c>
      <c r="AK32" s="26">
        <f t="shared" si="0"/>
        <v>72661918</v>
      </c>
      <c r="AL32" s="38">
        <v>152863483</v>
      </c>
      <c r="AM32" s="38">
        <v>0</v>
      </c>
      <c r="AN32" s="38">
        <v>45947699</v>
      </c>
      <c r="AO32" s="38">
        <v>16733</v>
      </c>
      <c r="AP32" s="38">
        <v>0</v>
      </c>
      <c r="AQ32" s="38">
        <v>0</v>
      </c>
      <c r="AR32" s="59">
        <v>321254</v>
      </c>
      <c r="AS32" s="27">
        <f t="shared" si="1"/>
        <v>199149169</v>
      </c>
      <c r="AT32" s="26">
        <f t="shared" si="2"/>
        <v>271811087</v>
      </c>
      <c r="AU32" s="1">
        <v>271811087</v>
      </c>
      <c r="AV32" s="122">
        <f t="shared" si="3"/>
        <v>0</v>
      </c>
    </row>
    <row r="33" spans="1:48" ht="13.5" customHeight="1">
      <c r="A33" s="44" t="s">
        <v>77</v>
      </c>
      <c r="B33" s="15" t="s">
        <v>43</v>
      </c>
      <c r="C33" s="38">
        <v>1202708</v>
      </c>
      <c r="D33" s="38">
        <v>255191</v>
      </c>
      <c r="E33" s="38">
        <v>9225372</v>
      </c>
      <c r="F33" s="38">
        <v>1740199</v>
      </c>
      <c r="G33" s="38">
        <v>1572069</v>
      </c>
      <c r="H33" s="38">
        <v>2908745</v>
      </c>
      <c r="I33" s="109">
        <f>국산거래표_원본!I32-국산거래표_new!J33</f>
        <v>16858517.812058724</v>
      </c>
      <c r="J33" s="109">
        <f>IFERROR(국산거래표_원본!I32/'A표_총거래표(생산자)_원본'!I32*'A표_총거래표(생산자)_new'!J172,0)</f>
        <v>30.18794127552087</v>
      </c>
      <c r="K33" s="38">
        <v>2089914</v>
      </c>
      <c r="L33" s="38">
        <v>6202430</v>
      </c>
      <c r="M33" s="38">
        <v>3987499</v>
      </c>
      <c r="N33" s="38">
        <v>8492856</v>
      </c>
      <c r="O33" s="38">
        <v>5843298</v>
      </c>
      <c r="P33" s="38">
        <v>6611787</v>
      </c>
      <c r="Q33" s="38">
        <v>9683294</v>
      </c>
      <c r="R33" s="38">
        <v>1292531</v>
      </c>
      <c r="S33" s="38">
        <v>3782155</v>
      </c>
      <c r="T33" s="38">
        <v>2152100</v>
      </c>
      <c r="U33" s="38">
        <v>2888568</v>
      </c>
      <c r="V33" s="38">
        <v>27207790</v>
      </c>
      <c r="W33" s="38">
        <v>19325099</v>
      </c>
      <c r="X33" s="38">
        <v>7340191</v>
      </c>
      <c r="Y33" s="38">
        <v>4772467</v>
      </c>
      <c r="Z33" s="38">
        <v>11316648</v>
      </c>
      <c r="AA33" s="38">
        <v>5270086</v>
      </c>
      <c r="AB33" s="38">
        <v>4117032</v>
      </c>
      <c r="AC33" s="38">
        <v>20920626</v>
      </c>
      <c r="AD33" s="38">
        <v>6307310</v>
      </c>
      <c r="AE33" s="38">
        <v>2930797</v>
      </c>
      <c r="AF33" s="38">
        <v>4395544</v>
      </c>
      <c r="AG33" s="38">
        <v>1522682</v>
      </c>
      <c r="AH33" s="38">
        <v>1207978</v>
      </c>
      <c r="AI33" s="38">
        <v>2340027</v>
      </c>
      <c r="AJ33" s="38">
        <v>7325</v>
      </c>
      <c r="AK33" s="26">
        <f t="shared" si="0"/>
        <v>205770866</v>
      </c>
      <c r="AL33" s="38">
        <v>6403196</v>
      </c>
      <c r="AM33" s="38">
        <v>0</v>
      </c>
      <c r="AN33" s="38">
        <v>97363032</v>
      </c>
      <c r="AO33" s="38">
        <v>14936963</v>
      </c>
      <c r="AP33" s="38">
        <v>0</v>
      </c>
      <c r="AQ33" s="38">
        <v>0</v>
      </c>
      <c r="AR33" s="59">
        <v>31221303</v>
      </c>
      <c r="AS33" s="27">
        <f t="shared" si="1"/>
        <v>149924494</v>
      </c>
      <c r="AT33" s="26">
        <f t="shared" si="2"/>
        <v>355695360</v>
      </c>
      <c r="AU33" s="1">
        <v>355695360</v>
      </c>
      <c r="AV33" s="122">
        <f t="shared" si="3"/>
        <v>0</v>
      </c>
    </row>
    <row r="34" spans="1:48" ht="13.5" customHeight="1">
      <c r="A34" s="44" t="s">
        <v>78</v>
      </c>
      <c r="B34" s="15" t="s">
        <v>18</v>
      </c>
      <c r="C34" s="38">
        <v>179997</v>
      </c>
      <c r="D34" s="38">
        <v>253174</v>
      </c>
      <c r="E34" s="38">
        <v>822576</v>
      </c>
      <c r="F34" s="38">
        <v>475408</v>
      </c>
      <c r="G34" s="38">
        <v>595159</v>
      </c>
      <c r="H34" s="38">
        <v>582675</v>
      </c>
      <c r="I34" s="109">
        <f>국산거래표_원본!I33-국산거래표_new!J34</f>
        <v>1593253.3769916112</v>
      </c>
      <c r="J34" s="109">
        <f>IFERROR(국산거래표_원본!I33/'A표_총거래표(생산자)_원본'!I33*'A표_총거래표(생산자)_new'!J173,0)</f>
        <v>2.6230083886938886</v>
      </c>
      <c r="K34" s="38">
        <v>319380</v>
      </c>
      <c r="L34" s="38">
        <v>1912991</v>
      </c>
      <c r="M34" s="38">
        <v>1289759</v>
      </c>
      <c r="N34" s="38">
        <v>2388735</v>
      </c>
      <c r="O34" s="38">
        <v>832266</v>
      </c>
      <c r="P34" s="38">
        <v>774252</v>
      </c>
      <c r="Q34" s="38">
        <v>3823704</v>
      </c>
      <c r="R34" s="38">
        <v>199056</v>
      </c>
      <c r="S34" s="38">
        <v>4035221</v>
      </c>
      <c r="T34" s="38">
        <v>1244502</v>
      </c>
      <c r="U34" s="38">
        <v>1365066</v>
      </c>
      <c r="V34" s="38">
        <v>9536836</v>
      </c>
      <c r="W34" s="38">
        <v>9469945</v>
      </c>
      <c r="X34" s="38">
        <v>7345594</v>
      </c>
      <c r="Y34" s="38">
        <v>1720523</v>
      </c>
      <c r="Z34" s="38">
        <v>8271635</v>
      </c>
      <c r="AA34" s="38">
        <v>8171592</v>
      </c>
      <c r="AB34" s="38">
        <v>11698707</v>
      </c>
      <c r="AC34" s="38">
        <v>15430339</v>
      </c>
      <c r="AD34" s="38">
        <v>10161024</v>
      </c>
      <c r="AE34" s="38">
        <v>5097290</v>
      </c>
      <c r="AF34" s="38">
        <v>3699833</v>
      </c>
      <c r="AG34" s="38">
        <v>3015768</v>
      </c>
      <c r="AH34" s="38">
        <v>3079879</v>
      </c>
      <c r="AI34" s="38">
        <v>879520</v>
      </c>
      <c r="AJ34" s="38">
        <v>5248</v>
      </c>
      <c r="AK34" s="26">
        <f t="shared" si="0"/>
        <v>120270910</v>
      </c>
      <c r="AL34" s="38">
        <v>8349841</v>
      </c>
      <c r="AM34" s="38">
        <v>0</v>
      </c>
      <c r="AN34" s="38">
        <v>0</v>
      </c>
      <c r="AO34" s="38">
        <v>0</v>
      </c>
      <c r="AP34" s="38">
        <v>0</v>
      </c>
      <c r="AQ34" s="38">
        <v>0</v>
      </c>
      <c r="AR34" s="59">
        <v>15690205</v>
      </c>
      <c r="AS34" s="27">
        <f t="shared" si="1"/>
        <v>24040046</v>
      </c>
      <c r="AT34" s="26">
        <f t="shared" si="2"/>
        <v>144310956</v>
      </c>
      <c r="AU34" s="1">
        <v>144310956</v>
      </c>
      <c r="AV34" s="122">
        <f t="shared" si="3"/>
        <v>0</v>
      </c>
    </row>
    <row r="35" spans="1:48" ht="13.5" customHeight="1">
      <c r="A35" s="44" t="s">
        <v>79</v>
      </c>
      <c r="B35" s="15" t="s">
        <v>80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109">
        <f>국산거래표_원본!I34-국산거래표_new!J35</f>
        <v>0</v>
      </c>
      <c r="J35" s="109">
        <f>IFERROR(국산거래표_원본!I34/'A표_총거래표(생산자)_원본'!I34*'A표_총거래표(생산자)_new'!J174,0)</f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270204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4326091</v>
      </c>
      <c r="AK35" s="26">
        <f t="shared" si="0"/>
        <v>4596295</v>
      </c>
      <c r="AL35" s="38">
        <v>4098405</v>
      </c>
      <c r="AM35" s="38">
        <v>193826946</v>
      </c>
      <c r="AN35" s="38">
        <v>0</v>
      </c>
      <c r="AO35" s="38">
        <v>0</v>
      </c>
      <c r="AP35" s="38">
        <v>0</v>
      </c>
      <c r="AQ35" s="38">
        <v>0</v>
      </c>
      <c r="AR35" s="59">
        <v>34003</v>
      </c>
      <c r="AS35" s="27">
        <f t="shared" si="1"/>
        <v>197959354</v>
      </c>
      <c r="AT35" s="26">
        <f t="shared" si="2"/>
        <v>202555649</v>
      </c>
      <c r="AU35" s="1">
        <v>202555649</v>
      </c>
      <c r="AV35" s="122">
        <f t="shared" si="3"/>
        <v>0</v>
      </c>
    </row>
    <row r="36" spans="1:48" ht="13.5" customHeight="1">
      <c r="A36" s="44" t="s">
        <v>81</v>
      </c>
      <c r="B36" s="15" t="s">
        <v>19</v>
      </c>
      <c r="C36" s="38">
        <v>3253</v>
      </c>
      <c r="D36" s="38">
        <v>1120</v>
      </c>
      <c r="E36" s="38">
        <v>41819</v>
      </c>
      <c r="F36" s="38">
        <v>10820</v>
      </c>
      <c r="G36" s="38">
        <v>22739</v>
      </c>
      <c r="H36" s="38">
        <v>31819</v>
      </c>
      <c r="I36" s="109">
        <f>국산거래표_원본!I35-국산거래표_new!J36</f>
        <v>135324.72778754579</v>
      </c>
      <c r="J36" s="109">
        <f>IFERROR(국산거래표_원본!I35/'A표_총거래표(생산자)_원본'!I35*'A표_총거래표(생산자)_new'!J175,0)</f>
        <v>0.27221245419224455</v>
      </c>
      <c r="K36" s="38">
        <v>20004</v>
      </c>
      <c r="L36" s="38">
        <v>81507</v>
      </c>
      <c r="M36" s="38">
        <v>106987</v>
      </c>
      <c r="N36" s="38">
        <v>83867</v>
      </c>
      <c r="O36" s="38">
        <v>77661</v>
      </c>
      <c r="P36" s="38">
        <v>102911</v>
      </c>
      <c r="Q36" s="38">
        <v>65469</v>
      </c>
      <c r="R36" s="38">
        <v>4489</v>
      </c>
      <c r="S36" s="38">
        <v>252301</v>
      </c>
      <c r="T36" s="38">
        <v>25828</v>
      </c>
      <c r="U36" s="38">
        <v>25300</v>
      </c>
      <c r="V36" s="38">
        <v>73846</v>
      </c>
      <c r="W36" s="38">
        <v>863705</v>
      </c>
      <c r="X36" s="38">
        <v>69462</v>
      </c>
      <c r="Y36" s="38">
        <v>93481</v>
      </c>
      <c r="Z36" s="38">
        <v>149910</v>
      </c>
      <c r="AA36" s="38">
        <v>339720</v>
      </c>
      <c r="AB36" s="38">
        <v>184446</v>
      </c>
      <c r="AC36" s="38">
        <v>421155</v>
      </c>
      <c r="AD36" s="38">
        <v>83373</v>
      </c>
      <c r="AE36" s="38">
        <v>4656</v>
      </c>
      <c r="AF36" s="38">
        <v>76122</v>
      </c>
      <c r="AG36" s="38">
        <v>24028</v>
      </c>
      <c r="AH36" s="38">
        <v>20992</v>
      </c>
      <c r="AI36" s="38">
        <v>93841</v>
      </c>
      <c r="AJ36" s="38">
        <v>676</v>
      </c>
      <c r="AK36" s="26">
        <f t="shared" si="0"/>
        <v>3592632</v>
      </c>
      <c r="AL36" s="38">
        <v>61336228</v>
      </c>
      <c r="AM36" s="38">
        <v>89090202</v>
      </c>
      <c r="AN36" s="38">
        <v>0</v>
      </c>
      <c r="AO36" s="38">
        <v>0</v>
      </c>
      <c r="AP36" s="38">
        <v>0</v>
      </c>
      <c r="AQ36" s="38">
        <v>0</v>
      </c>
      <c r="AR36" s="59">
        <v>319935</v>
      </c>
      <c r="AS36" s="27">
        <f t="shared" si="1"/>
        <v>150746365</v>
      </c>
      <c r="AT36" s="26">
        <f t="shared" si="2"/>
        <v>154338997</v>
      </c>
      <c r="AU36" s="1">
        <v>154338997</v>
      </c>
      <c r="AV36" s="122">
        <f t="shared" si="3"/>
        <v>0</v>
      </c>
    </row>
    <row r="37" spans="1:48" ht="13.5" customHeight="1">
      <c r="A37" s="44" t="s">
        <v>82</v>
      </c>
      <c r="B37" s="15" t="s">
        <v>83</v>
      </c>
      <c r="C37" s="38">
        <v>83873</v>
      </c>
      <c r="D37" s="38">
        <v>14497</v>
      </c>
      <c r="E37" s="38">
        <v>128422</v>
      </c>
      <c r="F37" s="38">
        <v>54243</v>
      </c>
      <c r="G37" s="38">
        <v>69491</v>
      </c>
      <c r="H37" s="38">
        <v>32427</v>
      </c>
      <c r="I37" s="109">
        <f>국산거래표_원본!I36-국산거래표_new!J37</f>
        <v>217064.56313469395</v>
      </c>
      <c r="J37" s="109">
        <f>IFERROR(국산거래표_원본!I36/'A표_총거래표(생산자)_원본'!I36*'A표_총거래표(생산자)_new'!J176,0)</f>
        <v>0.43686530604696766</v>
      </c>
      <c r="K37" s="38">
        <v>42381</v>
      </c>
      <c r="L37" s="38">
        <v>112512</v>
      </c>
      <c r="M37" s="38">
        <v>173400</v>
      </c>
      <c r="N37" s="38">
        <v>151296</v>
      </c>
      <c r="O37" s="38">
        <v>118630</v>
      </c>
      <c r="P37" s="38">
        <v>214771</v>
      </c>
      <c r="Q37" s="38">
        <v>276179</v>
      </c>
      <c r="R37" s="38">
        <v>30648</v>
      </c>
      <c r="S37" s="38">
        <v>207648</v>
      </c>
      <c r="T37" s="38">
        <v>36827</v>
      </c>
      <c r="U37" s="38">
        <v>141683</v>
      </c>
      <c r="V37" s="38">
        <v>396109</v>
      </c>
      <c r="W37" s="38">
        <v>1295493</v>
      </c>
      <c r="X37" s="38">
        <v>149288</v>
      </c>
      <c r="Y37" s="38">
        <v>490822</v>
      </c>
      <c r="Z37" s="38">
        <v>305107</v>
      </c>
      <c r="AA37" s="38">
        <v>427328</v>
      </c>
      <c r="AB37" s="38">
        <v>224359</v>
      </c>
      <c r="AC37" s="38">
        <v>779133</v>
      </c>
      <c r="AD37" s="38">
        <v>272948</v>
      </c>
      <c r="AE37" s="38">
        <v>73949</v>
      </c>
      <c r="AF37" s="38">
        <v>294132</v>
      </c>
      <c r="AG37" s="38">
        <v>548305</v>
      </c>
      <c r="AH37" s="38">
        <v>203581</v>
      </c>
      <c r="AI37" s="38">
        <v>166511</v>
      </c>
      <c r="AJ37" s="38">
        <v>853</v>
      </c>
      <c r="AK37" s="26">
        <f t="shared" si="0"/>
        <v>7733911</v>
      </c>
      <c r="AL37" s="38">
        <v>73726142</v>
      </c>
      <c r="AM37" s="38">
        <v>136924224</v>
      </c>
      <c r="AN37" s="38">
        <v>0</v>
      </c>
      <c r="AO37" s="38">
        <v>0</v>
      </c>
      <c r="AP37" s="38">
        <v>0</v>
      </c>
      <c r="AQ37" s="38">
        <v>0</v>
      </c>
      <c r="AR37" s="59">
        <v>766926</v>
      </c>
      <c r="AS37" s="27">
        <f t="shared" si="1"/>
        <v>211417292</v>
      </c>
      <c r="AT37" s="26">
        <f t="shared" si="2"/>
        <v>219151203</v>
      </c>
      <c r="AU37" s="1">
        <v>219151203</v>
      </c>
      <c r="AV37" s="122">
        <f t="shared" si="3"/>
        <v>0</v>
      </c>
    </row>
    <row r="38" spans="1:48" ht="13.5" customHeight="1">
      <c r="A38" s="44" t="s">
        <v>84</v>
      </c>
      <c r="B38" s="15" t="s">
        <v>85</v>
      </c>
      <c r="C38" s="38">
        <v>65501</v>
      </c>
      <c r="D38" s="38">
        <v>36492</v>
      </c>
      <c r="E38" s="38">
        <v>133509</v>
      </c>
      <c r="F38" s="38">
        <v>96388</v>
      </c>
      <c r="G38" s="38">
        <v>96946</v>
      </c>
      <c r="H38" s="38">
        <v>65738</v>
      </c>
      <c r="I38" s="109">
        <f>국산거래표_원본!I37-국산거래표_new!J38</f>
        <v>327710.34339970426</v>
      </c>
      <c r="J38" s="109">
        <f>IFERROR(국산거래표_원본!I37/'A표_총거래표(생산자)_원본'!I37*'A표_총거래표(생산자)_new'!J177,0)</f>
        <v>0.65660029574510159</v>
      </c>
      <c r="K38" s="38">
        <v>64077</v>
      </c>
      <c r="L38" s="38">
        <v>259720</v>
      </c>
      <c r="M38" s="38">
        <v>249650</v>
      </c>
      <c r="N38" s="38">
        <v>127632</v>
      </c>
      <c r="O38" s="38">
        <v>127269</v>
      </c>
      <c r="P38" s="38">
        <v>224484</v>
      </c>
      <c r="Q38" s="38">
        <v>112354</v>
      </c>
      <c r="R38" s="38">
        <v>32963</v>
      </c>
      <c r="S38" s="38">
        <v>269851</v>
      </c>
      <c r="T38" s="38">
        <v>55203</v>
      </c>
      <c r="U38" s="38">
        <v>123402</v>
      </c>
      <c r="V38" s="38">
        <v>261929</v>
      </c>
      <c r="W38" s="38">
        <v>381946</v>
      </c>
      <c r="X38" s="38">
        <v>634186</v>
      </c>
      <c r="Y38" s="38">
        <v>135888</v>
      </c>
      <c r="Z38" s="38">
        <v>1695218</v>
      </c>
      <c r="AA38" s="38">
        <v>618809</v>
      </c>
      <c r="AB38" s="38">
        <v>269150</v>
      </c>
      <c r="AC38" s="38">
        <v>1906073</v>
      </c>
      <c r="AD38" s="38">
        <v>533578</v>
      </c>
      <c r="AE38" s="38">
        <v>138820</v>
      </c>
      <c r="AF38" s="38">
        <v>1102413</v>
      </c>
      <c r="AG38" s="38">
        <v>339042</v>
      </c>
      <c r="AH38" s="38">
        <v>2358603</v>
      </c>
      <c r="AI38" s="38">
        <v>361226</v>
      </c>
      <c r="AJ38" s="38">
        <v>1604</v>
      </c>
      <c r="AK38" s="26">
        <f t="shared" si="0"/>
        <v>13207375</v>
      </c>
      <c r="AL38" s="38">
        <v>42830865</v>
      </c>
      <c r="AM38" s="38">
        <v>4781313</v>
      </c>
      <c r="AN38" s="38">
        <v>1000872</v>
      </c>
      <c r="AO38" s="38">
        <v>0</v>
      </c>
      <c r="AP38" s="38">
        <v>0</v>
      </c>
      <c r="AQ38" s="38">
        <v>126</v>
      </c>
      <c r="AR38" s="59">
        <v>2880068</v>
      </c>
      <c r="AS38" s="27">
        <f t="shared" si="1"/>
        <v>51493244</v>
      </c>
      <c r="AT38" s="26">
        <f t="shared" si="2"/>
        <v>64700619</v>
      </c>
      <c r="AU38" s="1">
        <v>64700619</v>
      </c>
      <c r="AV38" s="122">
        <f t="shared" si="3"/>
        <v>0</v>
      </c>
    </row>
    <row r="39" spans="1:48" ht="13.5" customHeight="1">
      <c r="A39" s="44" t="s">
        <v>86</v>
      </c>
      <c r="B39" s="15" t="s">
        <v>87</v>
      </c>
      <c r="C39" s="38">
        <v>87910</v>
      </c>
      <c r="D39" s="38">
        <v>30210</v>
      </c>
      <c r="E39" s="38">
        <v>287853</v>
      </c>
      <c r="F39" s="38">
        <v>99799</v>
      </c>
      <c r="G39" s="38">
        <v>105392</v>
      </c>
      <c r="H39" s="38">
        <v>133954</v>
      </c>
      <c r="I39" s="109">
        <f>국산거래표_원본!I38-국산거래표_new!J39</f>
        <v>345334.37489989644</v>
      </c>
      <c r="J39" s="109">
        <f>IFERROR(국산거래표_원본!I38/'A표_총거래표(생산자)_원본'!I38*'A표_총거래표(생산자)_new'!J178,0)</f>
        <v>0.62510010354808276</v>
      </c>
      <c r="K39" s="38">
        <v>134596</v>
      </c>
      <c r="L39" s="38">
        <v>350976</v>
      </c>
      <c r="M39" s="38">
        <v>345022</v>
      </c>
      <c r="N39" s="38">
        <v>334275</v>
      </c>
      <c r="O39" s="38">
        <v>258947</v>
      </c>
      <c r="P39" s="38">
        <v>370778</v>
      </c>
      <c r="Q39" s="38">
        <v>325250</v>
      </c>
      <c r="R39" s="38">
        <v>35807</v>
      </c>
      <c r="S39" s="38">
        <v>608613</v>
      </c>
      <c r="T39" s="38">
        <v>54441</v>
      </c>
      <c r="U39" s="38">
        <v>355823</v>
      </c>
      <c r="V39" s="38">
        <v>576663</v>
      </c>
      <c r="W39" s="38">
        <v>3129098</v>
      </c>
      <c r="X39" s="38">
        <v>3278697</v>
      </c>
      <c r="Y39" s="38">
        <v>624266</v>
      </c>
      <c r="Z39" s="38">
        <v>676213</v>
      </c>
      <c r="AA39" s="38">
        <v>900216</v>
      </c>
      <c r="AB39" s="38">
        <v>393727</v>
      </c>
      <c r="AC39" s="38">
        <v>2508434</v>
      </c>
      <c r="AD39" s="38">
        <v>1416080</v>
      </c>
      <c r="AE39" s="38">
        <v>325503</v>
      </c>
      <c r="AF39" s="38">
        <v>1302167</v>
      </c>
      <c r="AG39" s="38">
        <v>426667</v>
      </c>
      <c r="AH39" s="38">
        <v>507711</v>
      </c>
      <c r="AI39" s="38">
        <v>574896</v>
      </c>
      <c r="AJ39" s="38">
        <v>750</v>
      </c>
      <c r="AK39" s="26">
        <f t="shared" si="0"/>
        <v>20906069</v>
      </c>
      <c r="AL39" s="38">
        <v>58946513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59">
        <v>1747533</v>
      </c>
      <c r="AS39" s="27">
        <f t="shared" si="1"/>
        <v>60694046</v>
      </c>
      <c r="AT39" s="26">
        <f t="shared" si="2"/>
        <v>81600115</v>
      </c>
      <c r="AU39" s="1">
        <v>81600115</v>
      </c>
      <c r="AV39" s="122">
        <f t="shared" si="3"/>
        <v>0</v>
      </c>
    </row>
    <row r="40" spans="1:48" ht="13.5" customHeight="1">
      <c r="A40" s="44" t="s">
        <v>88</v>
      </c>
      <c r="B40" s="15" t="s">
        <v>89</v>
      </c>
      <c r="C40" s="38">
        <v>269414</v>
      </c>
      <c r="D40" s="38">
        <v>15963</v>
      </c>
      <c r="E40" s="38">
        <v>83286</v>
      </c>
      <c r="F40" s="38">
        <v>18483</v>
      </c>
      <c r="G40" s="38">
        <v>75392</v>
      </c>
      <c r="H40" s="38">
        <v>137738</v>
      </c>
      <c r="I40" s="109">
        <f>국산거래표_원본!I39-국산거래표_new!J40</f>
        <v>792650.40470753657</v>
      </c>
      <c r="J40" s="109">
        <f>IFERROR(국산거래표_원본!I39/'A표_총거래표(생산자)_원본'!I39*'A표_총거래표(생산자)_new'!J179,0)</f>
        <v>1.5952924634037782</v>
      </c>
      <c r="K40" s="38">
        <v>23147</v>
      </c>
      <c r="L40" s="38">
        <v>42575</v>
      </c>
      <c r="M40" s="38">
        <v>131618</v>
      </c>
      <c r="N40" s="38">
        <v>63701</v>
      </c>
      <c r="O40" s="38">
        <v>54728</v>
      </c>
      <c r="P40" s="38">
        <v>91336</v>
      </c>
      <c r="Q40" s="38">
        <v>23958</v>
      </c>
      <c r="R40" s="38">
        <v>18948</v>
      </c>
      <c r="S40" s="38">
        <v>433554</v>
      </c>
      <c r="T40" s="38">
        <v>142445</v>
      </c>
      <c r="U40" s="38">
        <v>40948</v>
      </c>
      <c r="V40" s="38">
        <v>32265</v>
      </c>
      <c r="W40" s="38">
        <v>492128</v>
      </c>
      <c r="X40" s="38">
        <v>55217</v>
      </c>
      <c r="Y40" s="38">
        <v>250478</v>
      </c>
      <c r="Z40" s="38">
        <v>428335</v>
      </c>
      <c r="AA40" s="38">
        <v>58639</v>
      </c>
      <c r="AB40" s="38">
        <v>537173</v>
      </c>
      <c r="AC40" s="38">
        <v>239556</v>
      </c>
      <c r="AD40" s="38">
        <v>179839</v>
      </c>
      <c r="AE40" s="38">
        <v>45902</v>
      </c>
      <c r="AF40" s="38">
        <v>36693</v>
      </c>
      <c r="AG40" s="38">
        <v>373801</v>
      </c>
      <c r="AH40" s="38">
        <v>101652</v>
      </c>
      <c r="AI40" s="38">
        <v>54194</v>
      </c>
      <c r="AJ40" s="38">
        <v>109679</v>
      </c>
      <c r="AK40" s="26">
        <f t="shared" si="0"/>
        <v>5455437</v>
      </c>
      <c r="AL40" s="38">
        <v>-435478</v>
      </c>
      <c r="AM40" s="38">
        <v>0</v>
      </c>
      <c r="AN40" s="38">
        <v>0</v>
      </c>
      <c r="AO40" s="38">
        <v>0</v>
      </c>
      <c r="AP40" s="38">
        <v>0</v>
      </c>
      <c r="AQ40" s="38">
        <v>0</v>
      </c>
      <c r="AR40" s="59">
        <v>0</v>
      </c>
      <c r="AS40" s="27">
        <f t="shared" si="1"/>
        <v>-435478</v>
      </c>
      <c r="AT40" s="26">
        <f t="shared" si="2"/>
        <v>5019959</v>
      </c>
      <c r="AU40" s="1">
        <v>5019959</v>
      </c>
      <c r="AV40" s="122">
        <f t="shared" si="3"/>
        <v>0</v>
      </c>
    </row>
    <row r="41" spans="1:48" ht="13.5" customHeight="1">
      <c r="A41" s="46" t="s">
        <v>91</v>
      </c>
      <c r="B41" s="16" t="s">
        <v>20</v>
      </c>
      <c r="C41" s="40">
        <f>SUM(C7:C40)</f>
        <v>36629418</v>
      </c>
      <c r="D41" s="40">
        <f t="shared" ref="D41:AT41" si="4">SUM(D7:D40)</f>
        <v>3132309</v>
      </c>
      <c r="E41" s="40">
        <f t="shared" si="4"/>
        <v>113343360</v>
      </c>
      <c r="F41" s="40">
        <f t="shared" si="4"/>
        <v>35375741</v>
      </c>
      <c r="G41" s="40">
        <f t="shared" si="4"/>
        <v>33457207</v>
      </c>
      <c r="H41" s="40">
        <f t="shared" si="4"/>
        <v>29230925</v>
      </c>
      <c r="I41" s="40">
        <f t="shared" si="4"/>
        <v>188085797.90857673</v>
      </c>
      <c r="J41" s="40">
        <f t="shared" si="4"/>
        <v>738.641329308379</v>
      </c>
      <c r="K41" s="40">
        <f t="shared" si="4"/>
        <v>33179722</v>
      </c>
      <c r="L41" s="40">
        <f t="shared" si="4"/>
        <v>87669754</v>
      </c>
      <c r="M41" s="40">
        <f t="shared" si="4"/>
        <v>82319774</v>
      </c>
      <c r="N41" s="40">
        <f t="shared" si="4"/>
        <v>128829304</v>
      </c>
      <c r="O41" s="40">
        <f t="shared" si="4"/>
        <v>94361801</v>
      </c>
      <c r="P41" s="40">
        <f t="shared" si="4"/>
        <v>112545716</v>
      </c>
      <c r="Q41" s="40">
        <f t="shared" si="4"/>
        <v>228228617</v>
      </c>
      <c r="R41" s="40">
        <f t="shared" si="4"/>
        <v>17968881</v>
      </c>
      <c r="S41" s="40">
        <f t="shared" si="4"/>
        <v>48693679</v>
      </c>
      <c r="T41" s="40">
        <f t="shared" si="4"/>
        <v>48196749</v>
      </c>
      <c r="U41" s="40">
        <f t="shared" si="4"/>
        <v>22227137</v>
      </c>
      <c r="V41" s="40">
        <f t="shared" si="4"/>
        <v>187124691</v>
      </c>
      <c r="W41" s="40">
        <f t="shared" si="4"/>
        <v>171773776</v>
      </c>
      <c r="X41" s="40">
        <f t="shared" si="4"/>
        <v>83129741</v>
      </c>
      <c r="Y41" s="40">
        <f t="shared" si="4"/>
        <v>138211903</v>
      </c>
      <c r="Z41" s="40">
        <f t="shared" si="4"/>
        <v>84252364</v>
      </c>
      <c r="AA41" s="40">
        <f t="shared" si="4"/>
        <v>78191811</v>
      </c>
      <c r="AB41" s="40">
        <f t="shared" si="4"/>
        <v>79467442</v>
      </c>
      <c r="AC41" s="40">
        <f t="shared" si="4"/>
        <v>157264645</v>
      </c>
      <c r="AD41" s="40">
        <f t="shared" si="4"/>
        <v>51749545</v>
      </c>
      <c r="AE41" s="40">
        <f t="shared" si="4"/>
        <v>45848739</v>
      </c>
      <c r="AF41" s="40">
        <f t="shared" si="4"/>
        <v>48684605</v>
      </c>
      <c r="AG41" s="40">
        <f t="shared" si="4"/>
        <v>76696145</v>
      </c>
      <c r="AH41" s="40">
        <f t="shared" si="4"/>
        <v>26439064</v>
      </c>
      <c r="AI41" s="40">
        <f t="shared" si="4"/>
        <v>41890955</v>
      </c>
      <c r="AJ41" s="40">
        <f t="shared" si="4"/>
        <v>5013554</v>
      </c>
      <c r="AK41" s="26">
        <f t="shared" si="0"/>
        <v>2619215610.5499058</v>
      </c>
      <c r="AL41" s="40">
        <f t="shared" si="4"/>
        <v>1065594685</v>
      </c>
      <c r="AM41" s="40">
        <f t="shared" si="4"/>
        <v>428148599</v>
      </c>
      <c r="AN41" s="40">
        <f t="shared" si="4"/>
        <v>562479286</v>
      </c>
      <c r="AO41" s="40">
        <f t="shared" si="4"/>
        <v>105301054</v>
      </c>
      <c r="AP41" s="40">
        <f t="shared" si="4"/>
        <v>8131541</v>
      </c>
      <c r="AQ41" s="40">
        <f t="shared" si="4"/>
        <v>1393986</v>
      </c>
      <c r="AR41" s="40">
        <f t="shared" si="4"/>
        <v>996429977</v>
      </c>
      <c r="AS41" s="40">
        <f t="shared" si="4"/>
        <v>3167479128</v>
      </c>
      <c r="AT41" s="40">
        <f t="shared" si="4"/>
        <v>5786694738.5499058</v>
      </c>
      <c r="AU41" s="14"/>
    </row>
    <row r="42" spans="1:48" ht="13.5" customHeight="1">
      <c r="AK42" s="17"/>
    </row>
  </sheetData>
  <mergeCells count="1">
    <mergeCell ref="A5:B6"/>
  </mergeCells>
  <phoneticPr fontId="19" type="noConversion"/>
  <conditionalFormatting sqref="C1:AJ1">
    <cfRule type="cellIs" dxfId="7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09A8-BB38-4B6A-9605-FDD3EF73F0C4}">
  <sheetPr>
    <tabColor theme="5"/>
  </sheetPr>
  <dimension ref="A1:AT48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I47" sqref="I4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8" width="18.625" style="1"/>
    <col min="9" max="10" width="18.625" style="115"/>
    <col min="11" max="16384" width="18.625" style="1"/>
  </cols>
  <sheetData>
    <row r="1" spans="1:46" ht="13.5" customHeight="1">
      <c r="C1" s="3"/>
      <c r="D1" s="3"/>
      <c r="E1" s="3"/>
      <c r="F1" s="3"/>
      <c r="G1" s="3"/>
      <c r="H1" s="3"/>
      <c r="I1" s="116"/>
      <c r="J1" s="11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L1" s="4"/>
      <c r="AO1" s="5"/>
      <c r="AR1" s="6"/>
    </row>
    <row r="2" spans="1:46" ht="13.5" customHeight="1">
      <c r="B2" s="12"/>
      <c r="C2" s="2"/>
      <c r="D2" s="2"/>
      <c r="E2" s="2"/>
      <c r="F2" s="2"/>
      <c r="G2" s="2"/>
      <c r="H2" s="2"/>
      <c r="I2" s="124"/>
      <c r="J2" s="12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46" ht="13.5" customHeight="1">
      <c r="B3" s="2"/>
    </row>
    <row r="4" spans="1:46" s="10" customFormat="1" ht="13.5" customHeight="1">
      <c r="A4" s="21"/>
      <c r="B4" s="15"/>
      <c r="I4" s="118"/>
      <c r="J4" s="118"/>
      <c r="AK4" s="1"/>
      <c r="AL4" s="14"/>
      <c r="AM4" s="14"/>
      <c r="AN4" s="14"/>
      <c r="AO4" s="14"/>
      <c r="AP4" s="14"/>
      <c r="AQ4" s="14"/>
      <c r="AR4" s="14"/>
      <c r="AS4" s="14"/>
    </row>
    <row r="5" spans="1:46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119" t="s">
        <v>50</v>
      </c>
      <c r="J5" s="119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  <c r="AL5" s="36" t="s">
        <v>99</v>
      </c>
      <c r="AM5" s="36" t="s">
        <v>100</v>
      </c>
      <c r="AN5" s="36" t="s">
        <v>101</v>
      </c>
      <c r="AO5" s="36" t="s">
        <v>102</v>
      </c>
      <c r="AP5" s="36" t="s">
        <v>103</v>
      </c>
      <c r="AQ5" s="36" t="s">
        <v>104</v>
      </c>
      <c r="AR5" s="36" t="s">
        <v>105</v>
      </c>
      <c r="AS5" s="35" t="s">
        <v>106</v>
      </c>
      <c r="AT5" s="43" t="s">
        <v>107</v>
      </c>
    </row>
    <row r="6" spans="1:46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120" t="s">
        <v>8</v>
      </c>
      <c r="J6" s="120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  <c r="AL6" s="49" t="s">
        <v>38</v>
      </c>
      <c r="AM6" s="20" t="s">
        <v>27</v>
      </c>
      <c r="AN6" s="20" t="s">
        <v>28</v>
      </c>
      <c r="AO6" s="20" t="s">
        <v>29</v>
      </c>
      <c r="AP6" s="20" t="s">
        <v>30</v>
      </c>
      <c r="AQ6" s="20" t="s">
        <v>31</v>
      </c>
      <c r="AR6" s="20" t="s">
        <v>32</v>
      </c>
      <c r="AS6" s="23" t="s">
        <v>33</v>
      </c>
      <c r="AT6" s="24" t="s">
        <v>34</v>
      </c>
    </row>
    <row r="7" spans="1:46" ht="13.5" customHeight="1">
      <c r="A7" s="44" t="s">
        <v>44</v>
      </c>
      <c r="B7" s="15" t="s">
        <v>2</v>
      </c>
      <c r="C7" s="38">
        <v>4256311</v>
      </c>
      <c r="D7" s="38">
        <v>3473</v>
      </c>
      <c r="E7" s="38">
        <v>44787107</v>
      </c>
      <c r="F7" s="38">
        <v>264444</v>
      </c>
      <c r="G7" s="38">
        <v>661849</v>
      </c>
      <c r="H7" s="38">
        <v>4203</v>
      </c>
      <c r="I7" s="109">
        <v>1326557.8816719113</v>
      </c>
      <c r="J7" s="109">
        <v>1.1183280886092932</v>
      </c>
      <c r="K7" s="38">
        <v>3614</v>
      </c>
      <c r="L7" s="38">
        <v>6461</v>
      </c>
      <c r="M7" s="38">
        <v>7383</v>
      </c>
      <c r="N7" s="38">
        <v>7338</v>
      </c>
      <c r="O7" s="38">
        <v>2082</v>
      </c>
      <c r="P7" s="38">
        <v>6967</v>
      </c>
      <c r="Q7" s="38">
        <v>2432</v>
      </c>
      <c r="R7" s="38">
        <v>14838</v>
      </c>
      <c r="S7" s="38">
        <v>542287</v>
      </c>
      <c r="T7" s="38">
        <v>3751</v>
      </c>
      <c r="U7" s="38">
        <v>12739</v>
      </c>
      <c r="V7" s="38">
        <v>403188</v>
      </c>
      <c r="W7" s="38">
        <v>103863</v>
      </c>
      <c r="X7" s="38">
        <v>13100</v>
      </c>
      <c r="Y7" s="38">
        <v>13418941</v>
      </c>
      <c r="Z7" s="38">
        <v>14422</v>
      </c>
      <c r="AA7" s="38">
        <v>11833</v>
      </c>
      <c r="AB7" s="38">
        <v>7087</v>
      </c>
      <c r="AC7" s="38">
        <v>72958</v>
      </c>
      <c r="AD7" s="38">
        <v>20574</v>
      </c>
      <c r="AE7" s="38">
        <v>333297</v>
      </c>
      <c r="AF7" s="38">
        <v>716622</v>
      </c>
      <c r="AG7" s="38">
        <v>904970</v>
      </c>
      <c r="AH7" s="38">
        <v>72052</v>
      </c>
      <c r="AI7" s="38">
        <v>72609</v>
      </c>
      <c r="AJ7" s="38">
        <v>3405</v>
      </c>
      <c r="AK7" s="26">
        <v>68082759</v>
      </c>
      <c r="AL7" s="38">
        <v>20977330</v>
      </c>
      <c r="AM7" s="38">
        <v>0</v>
      </c>
      <c r="AN7" s="38">
        <v>1005548</v>
      </c>
      <c r="AO7" s="38">
        <v>708</v>
      </c>
      <c r="AP7" s="38">
        <v>-196797</v>
      </c>
      <c r="AQ7" s="38">
        <v>0</v>
      </c>
      <c r="AR7" s="38">
        <v>1148216</v>
      </c>
      <c r="AS7" s="26">
        <v>22935005</v>
      </c>
      <c r="AT7" s="27">
        <v>91017764</v>
      </c>
    </row>
    <row r="8" spans="1:46" ht="13.5" customHeight="1">
      <c r="A8" s="44" t="s">
        <v>45</v>
      </c>
      <c r="B8" s="15" t="s">
        <v>3</v>
      </c>
      <c r="C8" s="38">
        <v>2055</v>
      </c>
      <c r="D8" s="38">
        <v>2999</v>
      </c>
      <c r="E8" s="38">
        <v>48702</v>
      </c>
      <c r="F8" s="38">
        <v>3592</v>
      </c>
      <c r="G8" s="38">
        <v>35023</v>
      </c>
      <c r="H8" s="38">
        <v>108067377</v>
      </c>
      <c r="I8" s="109">
        <v>8679206.2488911487</v>
      </c>
      <c r="J8" s="109">
        <v>0.75110885132401117</v>
      </c>
      <c r="K8" s="38">
        <v>5208178</v>
      </c>
      <c r="L8" s="38">
        <v>33232955</v>
      </c>
      <c r="M8" s="38">
        <v>40482</v>
      </c>
      <c r="N8" s="38">
        <v>37583</v>
      </c>
      <c r="O8" s="38">
        <v>8789</v>
      </c>
      <c r="P8" s="38">
        <v>16354</v>
      </c>
      <c r="Q8" s="38">
        <v>5802</v>
      </c>
      <c r="R8" s="38">
        <v>3785</v>
      </c>
      <c r="S8" s="38">
        <v>76904</v>
      </c>
      <c r="T8" s="38">
        <v>68593275</v>
      </c>
      <c r="U8" s="38">
        <v>53587</v>
      </c>
      <c r="V8" s="38">
        <v>278992</v>
      </c>
      <c r="W8" s="38">
        <v>0</v>
      </c>
      <c r="X8" s="38">
        <v>0</v>
      </c>
      <c r="Y8" s="38">
        <v>15310</v>
      </c>
      <c r="Z8" s="38">
        <v>0</v>
      </c>
      <c r="AA8" s="38">
        <v>0</v>
      </c>
      <c r="AB8" s="38">
        <v>141</v>
      </c>
      <c r="AC8" s="38">
        <v>17244</v>
      </c>
      <c r="AD8" s="38">
        <v>13414</v>
      </c>
      <c r="AE8" s="38">
        <v>16766</v>
      </c>
      <c r="AF8" s="38">
        <v>1073</v>
      </c>
      <c r="AG8" s="38">
        <v>16722</v>
      </c>
      <c r="AH8" s="38">
        <v>2420</v>
      </c>
      <c r="AI8" s="38">
        <v>2421</v>
      </c>
      <c r="AJ8" s="38">
        <v>34</v>
      </c>
      <c r="AK8" s="26">
        <v>224481186</v>
      </c>
      <c r="AL8" s="38">
        <v>20312</v>
      </c>
      <c r="AM8" s="38">
        <v>0</v>
      </c>
      <c r="AN8" s="38">
        <v>0</v>
      </c>
      <c r="AO8" s="38">
        <v>0</v>
      </c>
      <c r="AP8" s="38">
        <v>-1208060</v>
      </c>
      <c r="AQ8" s="38">
        <v>0</v>
      </c>
      <c r="AR8" s="38">
        <v>164539</v>
      </c>
      <c r="AS8" s="26">
        <v>-1023209</v>
      </c>
      <c r="AT8" s="27">
        <v>223457977</v>
      </c>
    </row>
    <row r="9" spans="1:46" ht="13.5" customHeight="1">
      <c r="A9" s="44" t="s">
        <v>46</v>
      </c>
      <c r="B9" s="15" t="s">
        <v>4</v>
      </c>
      <c r="C9" s="38">
        <v>13490896</v>
      </c>
      <c r="D9" s="38">
        <v>16188</v>
      </c>
      <c r="E9" s="38">
        <v>37267582</v>
      </c>
      <c r="F9" s="38">
        <v>1267831</v>
      </c>
      <c r="G9" s="38">
        <v>87762</v>
      </c>
      <c r="H9" s="38">
        <v>29747</v>
      </c>
      <c r="I9" s="109">
        <v>1948951.2856227099</v>
      </c>
      <c r="J9" s="109">
        <v>2.7143772901102938</v>
      </c>
      <c r="K9" s="38">
        <v>32354</v>
      </c>
      <c r="L9" s="38">
        <v>78230</v>
      </c>
      <c r="M9" s="38">
        <v>106035</v>
      </c>
      <c r="N9" s="38">
        <v>28458</v>
      </c>
      <c r="O9" s="38">
        <v>23722</v>
      </c>
      <c r="P9" s="38">
        <v>80841</v>
      </c>
      <c r="Q9" s="38">
        <v>-15144</v>
      </c>
      <c r="R9" s="38">
        <v>10976</v>
      </c>
      <c r="S9" s="38">
        <v>642150</v>
      </c>
      <c r="T9" s="38">
        <v>1667262</v>
      </c>
      <c r="U9" s="38">
        <v>75594</v>
      </c>
      <c r="V9" s="38">
        <v>29879</v>
      </c>
      <c r="W9" s="38">
        <v>2137267</v>
      </c>
      <c r="X9" s="38">
        <v>237559</v>
      </c>
      <c r="Y9" s="38">
        <v>62634265</v>
      </c>
      <c r="Z9" s="38">
        <v>321736</v>
      </c>
      <c r="AA9" s="38">
        <v>166231</v>
      </c>
      <c r="AB9" s="38">
        <v>20690</v>
      </c>
      <c r="AC9" s="38">
        <v>1680284</v>
      </c>
      <c r="AD9" s="38">
        <v>730059</v>
      </c>
      <c r="AE9" s="38">
        <v>1178818</v>
      </c>
      <c r="AF9" s="38">
        <v>3190985</v>
      </c>
      <c r="AG9" s="38">
        <v>3326884</v>
      </c>
      <c r="AH9" s="38">
        <v>2766615</v>
      </c>
      <c r="AI9" s="38">
        <v>1099495</v>
      </c>
      <c r="AJ9" s="38">
        <v>54767</v>
      </c>
      <c r="AK9" s="26">
        <v>136414972</v>
      </c>
      <c r="AL9" s="38">
        <v>79996863</v>
      </c>
      <c r="AM9" s="38">
        <v>0</v>
      </c>
      <c r="AN9" s="38">
        <v>0</v>
      </c>
      <c r="AO9" s="38">
        <v>0</v>
      </c>
      <c r="AP9" s="38">
        <v>-312055</v>
      </c>
      <c r="AQ9" s="38">
        <v>0</v>
      </c>
      <c r="AR9" s="38">
        <v>13216832</v>
      </c>
      <c r="AS9" s="26">
        <v>92901640</v>
      </c>
      <c r="AT9" s="27">
        <v>229316612</v>
      </c>
    </row>
    <row r="10" spans="1:46" ht="13.5" customHeight="1">
      <c r="A10" s="44" t="s">
        <v>47</v>
      </c>
      <c r="B10" s="15" t="s">
        <v>5</v>
      </c>
      <c r="C10" s="38">
        <v>690669</v>
      </c>
      <c r="D10" s="38">
        <v>18761</v>
      </c>
      <c r="E10" s="38">
        <v>152583</v>
      </c>
      <c r="F10" s="38">
        <v>21941986</v>
      </c>
      <c r="G10" s="38">
        <v>610886</v>
      </c>
      <c r="H10" s="38">
        <v>100196</v>
      </c>
      <c r="I10" s="109">
        <v>1674117.8461301655</v>
      </c>
      <c r="J10" s="109">
        <v>2.1538698344229443</v>
      </c>
      <c r="K10" s="38">
        <v>167311</v>
      </c>
      <c r="L10" s="38">
        <v>181532</v>
      </c>
      <c r="M10" s="38">
        <v>398657</v>
      </c>
      <c r="N10" s="38">
        <v>396591</v>
      </c>
      <c r="O10" s="38">
        <v>175855</v>
      </c>
      <c r="P10" s="38">
        <v>148702</v>
      </c>
      <c r="Q10" s="38">
        <v>1234584</v>
      </c>
      <c r="R10" s="38">
        <v>1704538</v>
      </c>
      <c r="S10" s="38">
        <v>2681541</v>
      </c>
      <c r="T10" s="38">
        <v>46471</v>
      </c>
      <c r="U10" s="38">
        <v>260471</v>
      </c>
      <c r="V10" s="38">
        <v>183767</v>
      </c>
      <c r="W10" s="38">
        <v>1793848</v>
      </c>
      <c r="X10" s="38">
        <v>1945331</v>
      </c>
      <c r="Y10" s="38">
        <v>1580633</v>
      </c>
      <c r="Z10" s="38">
        <v>250655</v>
      </c>
      <c r="AA10" s="38">
        <v>107312</v>
      </c>
      <c r="AB10" s="38">
        <v>175614</v>
      </c>
      <c r="AC10" s="38">
        <v>554339</v>
      </c>
      <c r="AD10" s="38">
        <v>1178436</v>
      </c>
      <c r="AE10" s="38">
        <v>689348</v>
      </c>
      <c r="AF10" s="38">
        <v>212655</v>
      </c>
      <c r="AG10" s="38">
        <v>919104</v>
      </c>
      <c r="AH10" s="38">
        <v>556457</v>
      </c>
      <c r="AI10" s="38">
        <v>863694</v>
      </c>
      <c r="AJ10" s="38">
        <v>17447</v>
      </c>
      <c r="AK10" s="26">
        <v>43614094</v>
      </c>
      <c r="AL10" s="38">
        <v>44692848</v>
      </c>
      <c r="AM10" s="38">
        <v>0</v>
      </c>
      <c r="AN10" s="38">
        <v>99316</v>
      </c>
      <c r="AO10" s="38">
        <v>49995</v>
      </c>
      <c r="AP10" s="38">
        <v>238347</v>
      </c>
      <c r="AQ10" s="38">
        <v>0</v>
      </c>
      <c r="AR10" s="38">
        <v>20177963</v>
      </c>
      <c r="AS10" s="26">
        <v>65258469</v>
      </c>
      <c r="AT10" s="27">
        <v>108872563</v>
      </c>
    </row>
    <row r="11" spans="1:46" ht="13.5" customHeight="1">
      <c r="A11" s="44" t="s">
        <v>48</v>
      </c>
      <c r="B11" s="15" t="s">
        <v>6</v>
      </c>
      <c r="C11" s="38">
        <v>866017</v>
      </c>
      <c r="D11" s="38">
        <v>11121</v>
      </c>
      <c r="E11" s="38">
        <v>3715108</v>
      </c>
      <c r="F11" s="38">
        <v>415547</v>
      </c>
      <c r="G11" s="38">
        <v>17244503</v>
      </c>
      <c r="H11" s="38">
        <v>134210</v>
      </c>
      <c r="I11" s="109">
        <v>1997371.26708342</v>
      </c>
      <c r="J11" s="109">
        <v>3.7329165799523025</v>
      </c>
      <c r="K11" s="38">
        <v>426375</v>
      </c>
      <c r="L11" s="38">
        <v>243459</v>
      </c>
      <c r="M11" s="38">
        <v>1061021</v>
      </c>
      <c r="N11" s="38">
        <v>295987</v>
      </c>
      <c r="O11" s="38">
        <v>571350</v>
      </c>
      <c r="P11" s="38">
        <v>353312</v>
      </c>
      <c r="Q11" s="38">
        <v>120280</v>
      </c>
      <c r="R11" s="38">
        <v>1901882</v>
      </c>
      <c r="S11" s="38">
        <v>408384</v>
      </c>
      <c r="T11" s="38">
        <v>792752</v>
      </c>
      <c r="U11" s="38">
        <v>-6870</v>
      </c>
      <c r="V11" s="38">
        <v>6049727</v>
      </c>
      <c r="W11" s="38">
        <v>4278205</v>
      </c>
      <c r="X11" s="38">
        <v>1476571</v>
      </c>
      <c r="Y11" s="38">
        <v>2137353</v>
      </c>
      <c r="Z11" s="38">
        <v>2006707</v>
      </c>
      <c r="AA11" s="38">
        <v>1592341</v>
      </c>
      <c r="AB11" s="38">
        <v>227894</v>
      </c>
      <c r="AC11" s="38">
        <v>5069685</v>
      </c>
      <c r="AD11" s="38">
        <v>631911</v>
      </c>
      <c r="AE11" s="38">
        <v>913133</v>
      </c>
      <c r="AF11" s="38">
        <v>960333</v>
      </c>
      <c r="AG11" s="38">
        <v>1291250</v>
      </c>
      <c r="AH11" s="38">
        <v>308585</v>
      </c>
      <c r="AI11" s="38">
        <v>831503</v>
      </c>
      <c r="AJ11" s="38">
        <v>9881</v>
      </c>
      <c r="AK11" s="26">
        <v>58336892</v>
      </c>
      <c r="AL11" s="38">
        <v>1990283</v>
      </c>
      <c r="AM11" s="38">
        <v>0</v>
      </c>
      <c r="AN11" s="38">
        <v>0</v>
      </c>
      <c r="AO11" s="38">
        <v>0</v>
      </c>
      <c r="AP11" s="38">
        <v>247498</v>
      </c>
      <c r="AQ11" s="38">
        <v>0</v>
      </c>
      <c r="AR11" s="38">
        <v>4630328</v>
      </c>
      <c r="AS11" s="26">
        <v>6868109</v>
      </c>
      <c r="AT11" s="27">
        <v>65205001</v>
      </c>
    </row>
    <row r="12" spans="1:46" ht="13.5" customHeight="1">
      <c r="A12" s="44" t="s">
        <v>49</v>
      </c>
      <c r="B12" s="15" t="s">
        <v>7</v>
      </c>
      <c r="C12" s="38">
        <v>1553720</v>
      </c>
      <c r="D12" s="38">
        <v>127562</v>
      </c>
      <c r="E12" s="38">
        <v>368746</v>
      </c>
      <c r="F12" s="38">
        <v>182073</v>
      </c>
      <c r="G12" s="38">
        <v>306192</v>
      </c>
      <c r="H12" s="38">
        <v>8485744</v>
      </c>
      <c r="I12" s="109">
        <v>43895209.669638716</v>
      </c>
      <c r="J12" s="109">
        <v>37.330361284708523</v>
      </c>
      <c r="K12" s="38">
        <v>2409467</v>
      </c>
      <c r="L12" s="38">
        <v>721361</v>
      </c>
      <c r="M12" s="38">
        <v>527953</v>
      </c>
      <c r="N12" s="38">
        <v>108255</v>
      </c>
      <c r="O12" s="38">
        <v>512348</v>
      </c>
      <c r="P12" s="38">
        <v>337756</v>
      </c>
      <c r="Q12" s="38">
        <v>472866</v>
      </c>
      <c r="R12" s="38">
        <v>45874</v>
      </c>
      <c r="S12" s="38">
        <v>1013019</v>
      </c>
      <c r="T12" s="38">
        <v>4111860</v>
      </c>
      <c r="U12" s="38">
        <v>690962</v>
      </c>
      <c r="V12" s="38">
        <v>4687554</v>
      </c>
      <c r="W12" s="38">
        <v>9503880</v>
      </c>
      <c r="X12" s="38">
        <v>24628899</v>
      </c>
      <c r="Y12" s="38">
        <v>3477744</v>
      </c>
      <c r="Z12" s="38">
        <v>404311</v>
      </c>
      <c r="AA12" s="38">
        <v>146259</v>
      </c>
      <c r="AB12" s="38">
        <v>918026</v>
      </c>
      <c r="AC12" s="38">
        <v>4380042</v>
      </c>
      <c r="AD12" s="38">
        <v>918546</v>
      </c>
      <c r="AE12" s="38">
        <v>3355174</v>
      </c>
      <c r="AF12" s="38">
        <v>2599025</v>
      </c>
      <c r="AG12" s="38">
        <v>1564184</v>
      </c>
      <c r="AH12" s="38">
        <v>353775</v>
      </c>
      <c r="AI12" s="38">
        <v>1093548</v>
      </c>
      <c r="AJ12" s="38">
        <v>22523</v>
      </c>
      <c r="AK12" s="26">
        <v>123924495</v>
      </c>
      <c r="AL12" s="38">
        <v>20010215</v>
      </c>
      <c r="AM12" s="38">
        <v>0</v>
      </c>
      <c r="AN12" s="38">
        <v>0</v>
      </c>
      <c r="AO12" s="38">
        <v>0</v>
      </c>
      <c r="AP12" s="38">
        <v>685143</v>
      </c>
      <c r="AQ12" s="38">
        <v>0</v>
      </c>
      <c r="AR12" s="38">
        <v>77066088</v>
      </c>
      <c r="AS12" s="26">
        <v>97761446</v>
      </c>
      <c r="AT12" s="27">
        <v>221685941</v>
      </c>
    </row>
    <row r="13" spans="1:46" s="115" customFormat="1" ht="13.5" customHeight="1">
      <c r="A13" s="107" t="s">
        <v>50</v>
      </c>
      <c r="B13" s="113" t="s">
        <v>8</v>
      </c>
      <c r="C13" s="109">
        <v>5335744.9552408801</v>
      </c>
      <c r="D13" s="109">
        <v>219297.54606365331</v>
      </c>
      <c r="E13" s="109">
        <v>4720436.2289030813</v>
      </c>
      <c r="F13" s="109">
        <v>6819714.8834879128</v>
      </c>
      <c r="G13" s="109">
        <v>3803162.1276204269</v>
      </c>
      <c r="H13" s="109">
        <v>3537787.6769339545</v>
      </c>
      <c r="I13" s="109">
        <v>129362417.38839962</v>
      </c>
      <c r="J13" s="109">
        <v>151.83672953953794</v>
      </c>
      <c r="K13" s="109">
        <v>2543479.7351079867</v>
      </c>
      <c r="L13" s="109">
        <v>3102888.5771561051</v>
      </c>
      <c r="M13" s="109">
        <v>9009071.3516156022</v>
      </c>
      <c r="N13" s="109">
        <v>20188539.210605185</v>
      </c>
      <c r="O13" s="109">
        <v>17404813.972794902</v>
      </c>
      <c r="P13" s="109">
        <v>5570478.4693527538</v>
      </c>
      <c r="Q13" s="109">
        <v>21793895.887586948</v>
      </c>
      <c r="R13" s="109">
        <v>2998174.793909065</v>
      </c>
      <c r="S13" s="109">
        <v>1983056.8951587994</v>
      </c>
      <c r="T13" s="109">
        <v>2417165.996571911</v>
      </c>
      <c r="U13" s="109">
        <v>2164828.5188994738</v>
      </c>
      <c r="V13" s="109">
        <v>12222182.700615382</v>
      </c>
      <c r="W13" s="109">
        <v>5288968.0520670274</v>
      </c>
      <c r="X13" s="109">
        <v>1560670.7694796398</v>
      </c>
      <c r="Y13" s="109">
        <v>4858334.943458763</v>
      </c>
      <c r="Z13" s="109">
        <v>812352.31846616487</v>
      </c>
      <c r="AA13" s="109">
        <v>121601.7482896897</v>
      </c>
      <c r="AB13" s="109">
        <v>277567.42544754682</v>
      </c>
      <c r="AC13" s="109">
        <v>10278184.724606326</v>
      </c>
      <c r="AD13" s="109">
        <v>3992179.7363622286</v>
      </c>
      <c r="AE13" s="109">
        <v>1614771.6574931636</v>
      </c>
      <c r="AF13" s="109">
        <v>1270283.3705688785</v>
      </c>
      <c r="AG13" s="109">
        <v>32946362.802467305</v>
      </c>
      <c r="AH13" s="109">
        <v>758168.4306244473</v>
      </c>
      <c r="AI13" s="109">
        <v>3728698.281757337</v>
      </c>
      <c r="AJ13" s="109">
        <v>31955.933852611994</v>
      </c>
      <c r="AK13" s="114">
        <v>322737388.94769424</v>
      </c>
      <c r="AL13" s="109">
        <v>16391826.069635639</v>
      </c>
      <c r="AM13" s="109">
        <v>0</v>
      </c>
      <c r="AN13" s="109">
        <v>0</v>
      </c>
      <c r="AO13" s="109">
        <v>0</v>
      </c>
      <c r="AP13" s="109">
        <v>2035866.7858446313</v>
      </c>
      <c r="AQ13" s="109">
        <v>0</v>
      </c>
      <c r="AR13" s="109">
        <v>141936894.19682541</v>
      </c>
      <c r="AS13" s="114">
        <v>160364587.0523057</v>
      </c>
      <c r="AT13" s="111">
        <v>483101975.99999994</v>
      </c>
    </row>
    <row r="14" spans="1:46" s="115" customFormat="1" ht="13.5" customHeight="1">
      <c r="A14" s="107"/>
      <c r="B14" s="113" t="s">
        <v>144</v>
      </c>
      <c r="C14" s="109">
        <v>11.044759119844462</v>
      </c>
      <c r="D14" s="109">
        <v>0.45393634668895105</v>
      </c>
      <c r="E14" s="109">
        <v>9.771096918268622</v>
      </c>
      <c r="F14" s="109">
        <v>14.11651208706278</v>
      </c>
      <c r="G14" s="109">
        <v>7.8723795731699235</v>
      </c>
      <c r="H14" s="109">
        <v>7.323066045447006</v>
      </c>
      <c r="I14" s="109">
        <v>267.77455654290191</v>
      </c>
      <c r="J14" s="109">
        <v>3.1429540155458453E-4</v>
      </c>
      <c r="K14" s="109">
        <v>5.2648920134162038</v>
      </c>
      <c r="L14" s="109">
        <v>6.4228438948800841</v>
      </c>
      <c r="M14" s="109">
        <v>18.64838439744987</v>
      </c>
      <c r="N14" s="109">
        <v>41.789394814243494</v>
      </c>
      <c r="O14" s="109">
        <v>36.027205098401218</v>
      </c>
      <c r="P14" s="109">
        <v>11.530647246519964</v>
      </c>
      <c r="Q14" s="109">
        <v>45.112413052077741</v>
      </c>
      <c r="R14" s="109">
        <v>6.2060909349479978</v>
      </c>
      <c r="S14" s="109">
        <v>4.1048412005642456</v>
      </c>
      <c r="T14" s="109">
        <v>5.0034280890043616</v>
      </c>
      <c r="U14" s="109">
        <v>4.4811005262778592</v>
      </c>
      <c r="V14" s="109">
        <v>25.299384618156441</v>
      </c>
      <c r="W14" s="109">
        <v>10.947932972369021</v>
      </c>
      <c r="X14" s="109">
        <v>3.230520360114693</v>
      </c>
      <c r="Y14" s="109">
        <v>10.056541237286853</v>
      </c>
      <c r="Z14" s="109">
        <v>1.6815338351382874</v>
      </c>
      <c r="AA14" s="109">
        <v>0.25171031030866597</v>
      </c>
      <c r="AB14" s="109">
        <v>0.57455245318132753</v>
      </c>
      <c r="AC14" s="109">
        <v>21.275393675074358</v>
      </c>
      <c r="AD14" s="109">
        <v>8.2636377715048486</v>
      </c>
      <c r="AE14" s="109">
        <v>3.3425068364720651</v>
      </c>
      <c r="AF14" s="109">
        <v>2.6294311215338073</v>
      </c>
      <c r="AG14" s="109">
        <v>68.197532693319616</v>
      </c>
      <c r="AH14" s="109">
        <v>1.569375552759998</v>
      </c>
      <c r="AI14" s="109">
        <v>7.7182426630300869</v>
      </c>
      <c r="AJ14" s="109">
        <v>6.6147388005326629E-2</v>
      </c>
      <c r="AK14" s="114">
        <v>668.05230568482386</v>
      </c>
      <c r="AL14" s="109">
        <v>33.930364361903663</v>
      </c>
      <c r="AM14" s="109">
        <v>0</v>
      </c>
      <c r="AN14" s="109">
        <v>0</v>
      </c>
      <c r="AO14" s="109">
        <v>0</v>
      </c>
      <c r="AP14" s="109">
        <v>4.2141553688131284</v>
      </c>
      <c r="AQ14" s="109">
        <v>0</v>
      </c>
      <c r="AR14" s="109">
        <v>293.80317458445961</v>
      </c>
      <c r="AS14" s="114">
        <v>331.94769431517642</v>
      </c>
      <c r="AT14" s="111">
        <v>1000.0000000000002</v>
      </c>
    </row>
    <row r="15" spans="1:46" ht="13.5" customHeight="1">
      <c r="A15" s="44" t="s">
        <v>51</v>
      </c>
      <c r="B15" s="15" t="s">
        <v>9</v>
      </c>
      <c r="C15" s="38">
        <v>36617</v>
      </c>
      <c r="D15" s="38">
        <v>8918</v>
      </c>
      <c r="E15" s="38">
        <v>905256</v>
      </c>
      <c r="F15" s="38">
        <v>41584</v>
      </c>
      <c r="G15" s="38">
        <v>59557</v>
      </c>
      <c r="H15" s="38">
        <v>153911</v>
      </c>
      <c r="I15" s="109">
        <v>1621302.9173601517</v>
      </c>
      <c r="J15" s="109">
        <v>2.0826398484205293</v>
      </c>
      <c r="K15" s="38">
        <v>7622593</v>
      </c>
      <c r="L15" s="38">
        <v>3265699</v>
      </c>
      <c r="M15" s="38">
        <v>612991</v>
      </c>
      <c r="N15" s="38">
        <v>1987167</v>
      </c>
      <c r="O15" s="38">
        <v>1806637</v>
      </c>
      <c r="P15" s="38">
        <v>511290</v>
      </c>
      <c r="Q15" s="38">
        <v>2300485</v>
      </c>
      <c r="R15" s="38">
        <v>257029</v>
      </c>
      <c r="S15" s="38">
        <v>203556</v>
      </c>
      <c r="T15" s="38">
        <v>-152005</v>
      </c>
      <c r="U15" s="38">
        <v>187593</v>
      </c>
      <c r="V15" s="38">
        <v>29763706</v>
      </c>
      <c r="W15" s="38">
        <v>119481</v>
      </c>
      <c r="X15" s="38">
        <v>76745</v>
      </c>
      <c r="Y15" s="38">
        <v>742147</v>
      </c>
      <c r="Z15" s="38">
        <v>13661</v>
      </c>
      <c r="AA15" s="38">
        <v>3896</v>
      </c>
      <c r="AB15" s="38">
        <v>84202</v>
      </c>
      <c r="AC15" s="38">
        <v>340999</v>
      </c>
      <c r="AD15" s="38">
        <v>226159</v>
      </c>
      <c r="AE15" s="38">
        <v>331107</v>
      </c>
      <c r="AF15" s="38">
        <v>142765</v>
      </c>
      <c r="AG15" s="38">
        <v>71373</v>
      </c>
      <c r="AH15" s="38">
        <v>141732</v>
      </c>
      <c r="AI15" s="38">
        <v>56146</v>
      </c>
      <c r="AJ15" s="38">
        <v>4568</v>
      </c>
      <c r="AK15" s="26">
        <v>53548870</v>
      </c>
      <c r="AL15" s="38">
        <v>181273</v>
      </c>
      <c r="AM15" s="38">
        <v>0</v>
      </c>
      <c r="AN15" s="38">
        <v>0</v>
      </c>
      <c r="AO15" s="38">
        <v>0</v>
      </c>
      <c r="AP15" s="38">
        <v>187387</v>
      </c>
      <c r="AQ15" s="38">
        <v>0</v>
      </c>
      <c r="AR15" s="38">
        <v>4781328</v>
      </c>
      <c r="AS15" s="26">
        <v>5149988</v>
      </c>
      <c r="AT15" s="27">
        <v>58698858</v>
      </c>
    </row>
    <row r="16" spans="1:46" ht="13.5" customHeight="1">
      <c r="A16" s="44" t="s">
        <v>52</v>
      </c>
      <c r="B16" s="15" t="s">
        <v>10</v>
      </c>
      <c r="C16" s="38">
        <v>91111</v>
      </c>
      <c r="D16" s="38">
        <v>8196</v>
      </c>
      <c r="E16" s="38">
        <v>26239</v>
      </c>
      <c r="F16" s="38">
        <v>2697</v>
      </c>
      <c r="G16" s="38">
        <v>45720</v>
      </c>
      <c r="H16" s="38">
        <v>562107</v>
      </c>
      <c r="I16" s="109">
        <v>3388709.1160690989</v>
      </c>
      <c r="J16" s="109">
        <v>2.8839309011172864</v>
      </c>
      <c r="K16" s="38">
        <v>903550</v>
      </c>
      <c r="L16" s="38">
        <v>62564642</v>
      </c>
      <c r="M16" s="38">
        <v>26175296</v>
      </c>
      <c r="N16" s="38">
        <v>6708120</v>
      </c>
      <c r="O16" s="38">
        <v>18310513</v>
      </c>
      <c r="P16" s="38">
        <v>13493061</v>
      </c>
      <c r="Q16" s="38">
        <v>26369922</v>
      </c>
      <c r="R16" s="38">
        <v>1765850</v>
      </c>
      <c r="S16" s="38">
        <v>1069388</v>
      </c>
      <c r="T16" s="38">
        <v>413958</v>
      </c>
      <c r="U16" s="38">
        <v>170727</v>
      </c>
      <c r="V16" s="38">
        <v>25701309</v>
      </c>
      <c r="W16" s="38">
        <v>-713</v>
      </c>
      <c r="X16" s="38">
        <v>132195</v>
      </c>
      <c r="Y16" s="38">
        <v>27276</v>
      </c>
      <c r="Z16" s="38">
        <v>-21236</v>
      </c>
      <c r="AA16" s="38">
        <v>-69</v>
      </c>
      <c r="AB16" s="38">
        <v>-534</v>
      </c>
      <c r="AC16" s="38">
        <v>435186</v>
      </c>
      <c r="AD16" s="38">
        <v>1189</v>
      </c>
      <c r="AE16" s="38">
        <v>3109</v>
      </c>
      <c r="AF16" s="38">
        <v>-19677</v>
      </c>
      <c r="AG16" s="38">
        <v>366089</v>
      </c>
      <c r="AH16" s="38">
        <v>-4842</v>
      </c>
      <c r="AI16" s="38">
        <v>-29801</v>
      </c>
      <c r="AJ16" s="38">
        <v>9136</v>
      </c>
      <c r="AK16" s="26">
        <v>188668426</v>
      </c>
      <c r="AL16" s="38">
        <v>-731720</v>
      </c>
      <c r="AM16" s="38">
        <v>0</v>
      </c>
      <c r="AN16" s="38">
        <v>-3134918</v>
      </c>
      <c r="AO16" s="38">
        <v>-83309</v>
      </c>
      <c r="AP16" s="38">
        <v>118320</v>
      </c>
      <c r="AQ16" s="38">
        <v>163833</v>
      </c>
      <c r="AR16" s="38">
        <v>59288136</v>
      </c>
      <c r="AS16" s="26">
        <v>55620342</v>
      </c>
      <c r="AT16" s="27">
        <v>244288768</v>
      </c>
    </row>
    <row r="17" spans="1:46" ht="13.5" customHeight="1">
      <c r="A17" s="44" t="s">
        <v>53</v>
      </c>
      <c r="B17" s="15" t="s">
        <v>54</v>
      </c>
      <c r="C17" s="38">
        <v>77940</v>
      </c>
      <c r="D17" s="38">
        <v>117861</v>
      </c>
      <c r="E17" s="38">
        <v>2371080</v>
      </c>
      <c r="F17" s="38">
        <v>248175</v>
      </c>
      <c r="G17" s="38">
        <v>609407</v>
      </c>
      <c r="H17" s="38">
        <v>2900135</v>
      </c>
      <c r="I17" s="109">
        <v>2673616.3178722081</v>
      </c>
      <c r="J17" s="109">
        <v>4.6821277920415634</v>
      </c>
      <c r="K17" s="38">
        <v>667203</v>
      </c>
      <c r="L17" s="38">
        <v>1573739</v>
      </c>
      <c r="M17" s="38">
        <v>20929812</v>
      </c>
      <c r="N17" s="38">
        <v>2705363</v>
      </c>
      <c r="O17" s="38">
        <v>5224767</v>
      </c>
      <c r="P17" s="38">
        <v>19768968</v>
      </c>
      <c r="Q17" s="38">
        <v>18833190</v>
      </c>
      <c r="R17" s="38">
        <v>1490999</v>
      </c>
      <c r="S17" s="38">
        <v>1288202</v>
      </c>
      <c r="T17" s="38">
        <v>869133</v>
      </c>
      <c r="U17" s="38">
        <v>548021</v>
      </c>
      <c r="V17" s="38">
        <v>25476298</v>
      </c>
      <c r="W17" s="38">
        <v>1147254</v>
      </c>
      <c r="X17" s="38">
        <v>1077767</v>
      </c>
      <c r="Y17" s="38">
        <v>1741987</v>
      </c>
      <c r="Z17" s="38">
        <v>251710</v>
      </c>
      <c r="AA17" s="38">
        <v>141513</v>
      </c>
      <c r="AB17" s="38">
        <v>200822</v>
      </c>
      <c r="AC17" s="38">
        <v>1247365</v>
      </c>
      <c r="AD17" s="38">
        <v>1101443</v>
      </c>
      <c r="AE17" s="38">
        <v>1742143</v>
      </c>
      <c r="AF17" s="38">
        <v>474147</v>
      </c>
      <c r="AG17" s="38">
        <v>355816</v>
      </c>
      <c r="AH17" s="38">
        <v>255624</v>
      </c>
      <c r="AI17" s="38">
        <v>953188</v>
      </c>
      <c r="AJ17" s="38">
        <v>15794</v>
      </c>
      <c r="AK17" s="26">
        <v>119080487</v>
      </c>
      <c r="AL17" s="38">
        <v>1887217</v>
      </c>
      <c r="AM17" s="38">
        <v>0</v>
      </c>
      <c r="AN17" s="38">
        <v>6527800</v>
      </c>
      <c r="AO17" s="38">
        <v>2370938</v>
      </c>
      <c r="AP17" s="38">
        <v>174696</v>
      </c>
      <c r="AQ17" s="38">
        <v>0</v>
      </c>
      <c r="AR17" s="38">
        <v>17376557</v>
      </c>
      <c r="AS17" s="26">
        <v>28337208</v>
      </c>
      <c r="AT17" s="27">
        <v>147417695</v>
      </c>
    </row>
    <row r="18" spans="1:46" ht="13.5" customHeight="1">
      <c r="A18" s="44" t="s">
        <v>55</v>
      </c>
      <c r="B18" s="15" t="s">
        <v>56</v>
      </c>
      <c r="C18" s="38">
        <v>181673</v>
      </c>
      <c r="D18" s="38">
        <v>13321</v>
      </c>
      <c r="E18" s="38">
        <v>179518</v>
      </c>
      <c r="F18" s="38">
        <v>41611</v>
      </c>
      <c r="G18" s="38">
        <v>229681</v>
      </c>
      <c r="H18" s="38">
        <v>822010</v>
      </c>
      <c r="I18" s="109">
        <v>730147.74729454634</v>
      </c>
      <c r="J18" s="109">
        <v>1.2527054537033613</v>
      </c>
      <c r="K18" s="38">
        <v>94215</v>
      </c>
      <c r="L18" s="38">
        <v>473834</v>
      </c>
      <c r="M18" s="38">
        <v>1129751</v>
      </c>
      <c r="N18" s="38">
        <v>111091806</v>
      </c>
      <c r="O18" s="38">
        <v>14357957</v>
      </c>
      <c r="P18" s="38">
        <v>8884238</v>
      </c>
      <c r="Q18" s="38">
        <v>11446256</v>
      </c>
      <c r="R18" s="38">
        <v>150345</v>
      </c>
      <c r="S18" s="38">
        <v>2381775</v>
      </c>
      <c r="T18" s="38">
        <v>1173725</v>
      </c>
      <c r="U18" s="38">
        <v>449580</v>
      </c>
      <c r="V18" s="38">
        <v>1185699</v>
      </c>
      <c r="W18" s="38">
        <v>3095517</v>
      </c>
      <c r="X18" s="38">
        <v>872734</v>
      </c>
      <c r="Y18" s="38">
        <v>1525087</v>
      </c>
      <c r="Z18" s="38">
        <v>10007238</v>
      </c>
      <c r="AA18" s="38">
        <v>604376</v>
      </c>
      <c r="AB18" s="38">
        <v>631498</v>
      </c>
      <c r="AC18" s="38">
        <v>13688295</v>
      </c>
      <c r="AD18" s="38">
        <v>1617811</v>
      </c>
      <c r="AE18" s="38">
        <v>1101557</v>
      </c>
      <c r="AF18" s="38">
        <v>1963339</v>
      </c>
      <c r="AG18" s="38">
        <v>4361931</v>
      </c>
      <c r="AH18" s="38">
        <v>523425</v>
      </c>
      <c r="AI18" s="38">
        <v>2615814</v>
      </c>
      <c r="AJ18" s="38">
        <v>51754</v>
      </c>
      <c r="AK18" s="26">
        <v>197677520</v>
      </c>
      <c r="AL18" s="38">
        <v>25091325</v>
      </c>
      <c r="AM18" s="38">
        <v>0</v>
      </c>
      <c r="AN18" s="38">
        <v>30155221</v>
      </c>
      <c r="AO18" s="38">
        <v>4162495</v>
      </c>
      <c r="AP18" s="38">
        <v>486519</v>
      </c>
      <c r="AQ18" s="38">
        <v>0</v>
      </c>
      <c r="AR18" s="38">
        <v>191050500</v>
      </c>
      <c r="AS18" s="26">
        <v>250946060</v>
      </c>
      <c r="AT18" s="27">
        <v>448623580</v>
      </c>
    </row>
    <row r="19" spans="1:46" ht="13.5" customHeight="1">
      <c r="A19" s="44" t="s">
        <v>57</v>
      </c>
      <c r="B19" s="15" t="s">
        <v>58</v>
      </c>
      <c r="C19" s="38">
        <v>127130</v>
      </c>
      <c r="D19" s="38">
        <v>94350</v>
      </c>
      <c r="E19" s="38">
        <v>134004</v>
      </c>
      <c r="F19" s="38">
        <v>66778</v>
      </c>
      <c r="G19" s="38">
        <v>206216</v>
      </c>
      <c r="H19" s="38">
        <v>469945</v>
      </c>
      <c r="I19" s="109">
        <v>534498.05003808765</v>
      </c>
      <c r="J19" s="109">
        <v>0.94996191238251726</v>
      </c>
      <c r="K19" s="38">
        <v>332306</v>
      </c>
      <c r="L19" s="38">
        <v>548446</v>
      </c>
      <c r="M19" s="38">
        <v>1395586</v>
      </c>
      <c r="N19" s="38">
        <v>8141816</v>
      </c>
      <c r="O19" s="38">
        <v>43904389</v>
      </c>
      <c r="P19" s="38">
        <v>8454471</v>
      </c>
      <c r="Q19" s="38">
        <v>25867522</v>
      </c>
      <c r="R19" s="38">
        <v>311865</v>
      </c>
      <c r="S19" s="38">
        <v>2037205</v>
      </c>
      <c r="T19" s="38">
        <v>2146060</v>
      </c>
      <c r="U19" s="38">
        <v>972943</v>
      </c>
      <c r="V19" s="38">
        <v>15485158</v>
      </c>
      <c r="W19" s="38">
        <v>1888909</v>
      </c>
      <c r="X19" s="38">
        <v>3253534</v>
      </c>
      <c r="Y19" s="38">
        <v>2548408</v>
      </c>
      <c r="Z19" s="38">
        <v>3173256</v>
      </c>
      <c r="AA19" s="38">
        <v>368769</v>
      </c>
      <c r="AB19" s="38">
        <v>850238</v>
      </c>
      <c r="AC19" s="38">
        <v>8335414</v>
      </c>
      <c r="AD19" s="38">
        <v>2483438</v>
      </c>
      <c r="AE19" s="38">
        <v>982153</v>
      </c>
      <c r="AF19" s="38">
        <v>785992</v>
      </c>
      <c r="AG19" s="38">
        <v>597813</v>
      </c>
      <c r="AH19" s="38">
        <v>457683</v>
      </c>
      <c r="AI19" s="38">
        <v>3195593</v>
      </c>
      <c r="AJ19" s="38">
        <v>11785</v>
      </c>
      <c r="AK19" s="26">
        <v>140163674</v>
      </c>
      <c r="AL19" s="38">
        <v>11254160</v>
      </c>
      <c r="AM19" s="38">
        <v>0</v>
      </c>
      <c r="AN19" s="38">
        <v>15865555</v>
      </c>
      <c r="AO19" s="38">
        <v>302355</v>
      </c>
      <c r="AP19" s="38">
        <v>-360625</v>
      </c>
      <c r="AQ19" s="38">
        <v>0</v>
      </c>
      <c r="AR19" s="38">
        <v>46805116</v>
      </c>
      <c r="AS19" s="26">
        <v>73866561</v>
      </c>
      <c r="AT19" s="27">
        <v>214030235</v>
      </c>
    </row>
    <row r="20" spans="1:46" ht="13.5" customHeight="1">
      <c r="A20" s="44" t="s">
        <v>59</v>
      </c>
      <c r="B20" s="15" t="s">
        <v>11</v>
      </c>
      <c r="C20" s="38">
        <v>129919</v>
      </c>
      <c r="D20" s="38">
        <v>120796</v>
      </c>
      <c r="E20" s="38">
        <v>347920</v>
      </c>
      <c r="F20" s="38">
        <v>31863</v>
      </c>
      <c r="G20" s="38">
        <v>94508</v>
      </c>
      <c r="H20" s="38">
        <v>1382092</v>
      </c>
      <c r="I20" s="109">
        <v>788528</v>
      </c>
      <c r="J20" s="109">
        <v>100</v>
      </c>
      <c r="K20" s="38">
        <v>155078</v>
      </c>
      <c r="L20" s="38">
        <v>734140</v>
      </c>
      <c r="M20" s="38">
        <v>2600060</v>
      </c>
      <c r="N20" s="38">
        <v>1519513</v>
      </c>
      <c r="O20" s="38">
        <v>1498282</v>
      </c>
      <c r="P20" s="38">
        <v>39011415</v>
      </c>
      <c r="Q20" s="38">
        <v>9746821</v>
      </c>
      <c r="R20" s="38">
        <v>56187</v>
      </c>
      <c r="S20" s="38">
        <v>1472837</v>
      </c>
      <c r="T20" s="38">
        <v>1127344</v>
      </c>
      <c r="U20" s="38">
        <v>1179355</v>
      </c>
      <c r="V20" s="38">
        <v>11223089</v>
      </c>
      <c r="W20" s="38">
        <v>650365</v>
      </c>
      <c r="X20" s="38">
        <v>989282</v>
      </c>
      <c r="Y20" s="38">
        <v>370234</v>
      </c>
      <c r="Z20" s="38">
        <v>128658</v>
      </c>
      <c r="AA20" s="38">
        <v>50603</v>
      </c>
      <c r="AB20" s="38">
        <v>337724</v>
      </c>
      <c r="AC20" s="38">
        <v>1323848</v>
      </c>
      <c r="AD20" s="38">
        <v>383679</v>
      </c>
      <c r="AE20" s="38">
        <v>539228</v>
      </c>
      <c r="AF20" s="38">
        <v>368941</v>
      </c>
      <c r="AG20" s="38">
        <v>247391</v>
      </c>
      <c r="AH20" s="38">
        <v>151440</v>
      </c>
      <c r="AI20" s="38">
        <v>135707</v>
      </c>
      <c r="AJ20" s="38">
        <v>6506</v>
      </c>
      <c r="AK20" s="26">
        <v>78903453</v>
      </c>
      <c r="AL20" s="38">
        <v>2796216</v>
      </c>
      <c r="AM20" s="38">
        <v>0</v>
      </c>
      <c r="AN20" s="38">
        <v>90764774</v>
      </c>
      <c r="AO20" s="38">
        <v>1006484</v>
      </c>
      <c r="AP20" s="38">
        <v>229139</v>
      </c>
      <c r="AQ20" s="38">
        <v>0</v>
      </c>
      <c r="AR20" s="38">
        <v>70735546</v>
      </c>
      <c r="AS20" s="26">
        <v>165532159</v>
      </c>
      <c r="AT20" s="27">
        <v>244435612</v>
      </c>
    </row>
    <row r="21" spans="1:46" ht="13.5" customHeight="1">
      <c r="A21" s="44" t="s">
        <v>60</v>
      </c>
      <c r="B21" s="15" t="s">
        <v>12</v>
      </c>
      <c r="C21" s="38">
        <v>214292</v>
      </c>
      <c r="D21" s="38">
        <v>171746</v>
      </c>
      <c r="E21" s="38">
        <v>36186</v>
      </c>
      <c r="F21" s="38">
        <v>13210</v>
      </c>
      <c r="G21" s="38">
        <v>88391</v>
      </c>
      <c r="H21" s="38">
        <v>261289</v>
      </c>
      <c r="I21" s="109">
        <v>302512.43789051368</v>
      </c>
      <c r="J21" s="109">
        <v>0.56210948633998048</v>
      </c>
      <c r="K21" s="38">
        <v>199501</v>
      </c>
      <c r="L21" s="38">
        <v>171865</v>
      </c>
      <c r="M21" s="38">
        <v>276460</v>
      </c>
      <c r="N21" s="38">
        <v>16439</v>
      </c>
      <c r="O21" s="38">
        <v>89307</v>
      </c>
      <c r="P21" s="38">
        <v>701786</v>
      </c>
      <c r="Q21" s="38">
        <v>96037051</v>
      </c>
      <c r="R21" s="38">
        <v>18832</v>
      </c>
      <c r="S21" s="38">
        <v>3598588</v>
      </c>
      <c r="T21" s="38">
        <v>153854</v>
      </c>
      <c r="U21" s="38">
        <v>575492</v>
      </c>
      <c r="V21" s="38">
        <v>37247</v>
      </c>
      <c r="W21" s="38">
        <v>681877</v>
      </c>
      <c r="X21" s="38">
        <v>10079696</v>
      </c>
      <c r="Y21" s="38">
        <v>179329</v>
      </c>
      <c r="Z21" s="38">
        <v>151437</v>
      </c>
      <c r="AA21" s="38">
        <v>22514</v>
      </c>
      <c r="AB21" s="38">
        <v>43088</v>
      </c>
      <c r="AC21" s="38">
        <v>3650026</v>
      </c>
      <c r="AD21" s="38">
        <v>876040</v>
      </c>
      <c r="AE21" s="38">
        <v>3578727</v>
      </c>
      <c r="AF21" s="38">
        <v>166906</v>
      </c>
      <c r="AG21" s="38">
        <v>225780</v>
      </c>
      <c r="AH21" s="38">
        <v>108240</v>
      </c>
      <c r="AI21" s="38">
        <v>7993657</v>
      </c>
      <c r="AJ21" s="38">
        <v>7888</v>
      </c>
      <c r="AK21" s="26">
        <v>130729254</v>
      </c>
      <c r="AL21" s="38">
        <v>40901705</v>
      </c>
      <c r="AM21" s="38">
        <v>0</v>
      </c>
      <c r="AN21" s="38">
        <v>42292727</v>
      </c>
      <c r="AO21" s="38">
        <v>13019884</v>
      </c>
      <c r="AP21" s="38">
        <v>3133154</v>
      </c>
      <c r="AQ21" s="38">
        <v>0</v>
      </c>
      <c r="AR21" s="38">
        <v>157357500</v>
      </c>
      <c r="AS21" s="26">
        <v>256704970</v>
      </c>
      <c r="AT21" s="27">
        <v>387434224</v>
      </c>
    </row>
    <row r="22" spans="1:46" ht="13.5" customHeight="1">
      <c r="A22" s="44" t="s">
        <v>61</v>
      </c>
      <c r="B22" s="15" t="s">
        <v>62</v>
      </c>
      <c r="C22" s="38">
        <v>13043</v>
      </c>
      <c r="D22" s="38">
        <v>4348</v>
      </c>
      <c r="E22" s="38">
        <v>265784</v>
      </c>
      <c r="F22" s="38">
        <v>400619</v>
      </c>
      <c r="G22" s="38">
        <v>49555</v>
      </c>
      <c r="H22" s="38">
        <v>19543</v>
      </c>
      <c r="I22" s="109">
        <v>63825.907243230256</v>
      </c>
      <c r="J22" s="109">
        <v>9.275676974681614E-2</v>
      </c>
      <c r="K22" s="38">
        <v>9664</v>
      </c>
      <c r="L22" s="38">
        <v>32816</v>
      </c>
      <c r="M22" s="38">
        <v>127540</v>
      </c>
      <c r="N22" s="38">
        <v>53518</v>
      </c>
      <c r="O22" s="38">
        <v>39413</v>
      </c>
      <c r="P22" s="38">
        <v>60546</v>
      </c>
      <c r="Q22" s="38">
        <v>58127</v>
      </c>
      <c r="R22" s="38">
        <v>1765026</v>
      </c>
      <c r="S22" s="38">
        <v>211009</v>
      </c>
      <c r="T22" s="38">
        <v>19253</v>
      </c>
      <c r="U22" s="38">
        <v>201605</v>
      </c>
      <c r="V22" s="38">
        <v>2450611</v>
      </c>
      <c r="W22" s="38">
        <v>958311</v>
      </c>
      <c r="X22" s="38">
        <v>218259</v>
      </c>
      <c r="Y22" s="38">
        <v>2773762</v>
      </c>
      <c r="Z22" s="38">
        <v>459712</v>
      </c>
      <c r="AA22" s="38">
        <v>238915</v>
      </c>
      <c r="AB22" s="38">
        <v>984873</v>
      </c>
      <c r="AC22" s="38">
        <v>1963776</v>
      </c>
      <c r="AD22" s="38">
        <v>962940</v>
      </c>
      <c r="AE22" s="38">
        <v>659646</v>
      </c>
      <c r="AF22" s="38">
        <v>2473529</v>
      </c>
      <c r="AG22" s="38">
        <v>820745</v>
      </c>
      <c r="AH22" s="38">
        <v>1323183</v>
      </c>
      <c r="AI22" s="38">
        <v>807734</v>
      </c>
      <c r="AJ22" s="38">
        <v>11875</v>
      </c>
      <c r="AK22" s="26">
        <v>20503106</v>
      </c>
      <c r="AL22" s="38">
        <v>10947329</v>
      </c>
      <c r="AM22" s="38">
        <v>0</v>
      </c>
      <c r="AN22" s="38">
        <v>4161544</v>
      </c>
      <c r="AO22" s="38">
        <v>210426</v>
      </c>
      <c r="AP22" s="38">
        <v>166929</v>
      </c>
      <c r="AQ22" s="38">
        <v>1489650</v>
      </c>
      <c r="AR22" s="38">
        <v>3980497</v>
      </c>
      <c r="AS22" s="26">
        <v>20956375</v>
      </c>
      <c r="AT22" s="27">
        <v>41459481</v>
      </c>
    </row>
    <row r="23" spans="1:46" ht="13.5" customHeight="1">
      <c r="A23" s="44" t="s">
        <v>63</v>
      </c>
      <c r="B23" s="15" t="s">
        <v>64</v>
      </c>
      <c r="C23" s="38">
        <v>242070</v>
      </c>
      <c r="D23" s="38">
        <v>152155</v>
      </c>
      <c r="E23" s="38">
        <v>5486522</v>
      </c>
      <c r="F23" s="38">
        <v>9985095</v>
      </c>
      <c r="G23" s="38">
        <v>1801603</v>
      </c>
      <c r="H23" s="38">
        <v>435565</v>
      </c>
      <c r="I23" s="109">
        <v>9541651.0404655579</v>
      </c>
      <c r="J23" s="109">
        <v>17.959534442301969</v>
      </c>
      <c r="K23" s="38">
        <v>1369996</v>
      </c>
      <c r="L23" s="38">
        <v>4224299</v>
      </c>
      <c r="M23" s="38">
        <v>5725936</v>
      </c>
      <c r="N23" s="38">
        <v>18958535</v>
      </c>
      <c r="O23" s="38">
        <v>6950897</v>
      </c>
      <c r="P23" s="38">
        <v>12079284</v>
      </c>
      <c r="Q23" s="38">
        <v>8404373</v>
      </c>
      <c r="R23" s="38">
        <v>2035952</v>
      </c>
      <c r="S23" s="38">
        <v>12334112</v>
      </c>
      <c r="T23" s="38">
        <v>411980</v>
      </c>
      <c r="U23" s="38">
        <v>403424</v>
      </c>
      <c r="V23" s="38">
        <v>190115</v>
      </c>
      <c r="W23" s="38">
        <v>524872</v>
      </c>
      <c r="X23" s="38">
        <v>87915</v>
      </c>
      <c r="Y23" s="38">
        <v>119377</v>
      </c>
      <c r="Z23" s="38">
        <v>257520</v>
      </c>
      <c r="AA23" s="38">
        <v>52047</v>
      </c>
      <c r="AB23" s="38">
        <v>76140</v>
      </c>
      <c r="AC23" s="38">
        <v>312264</v>
      </c>
      <c r="AD23" s="38">
        <v>1017368</v>
      </c>
      <c r="AE23" s="38">
        <v>230996</v>
      </c>
      <c r="AF23" s="38">
        <v>285366</v>
      </c>
      <c r="AG23" s="38">
        <v>1116365</v>
      </c>
      <c r="AH23" s="38">
        <v>128510</v>
      </c>
      <c r="AI23" s="38">
        <v>55174</v>
      </c>
      <c r="AJ23" s="38">
        <v>1492</v>
      </c>
      <c r="AK23" s="26">
        <v>104998988</v>
      </c>
      <c r="AL23" s="38">
        <v>28837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4155270</v>
      </c>
      <c r="AS23" s="26">
        <v>4184107</v>
      </c>
      <c r="AT23" s="27">
        <v>109183095</v>
      </c>
    </row>
    <row r="24" spans="1:46" ht="13.5" customHeight="1">
      <c r="A24" s="44" t="s">
        <v>65</v>
      </c>
      <c r="B24" s="15" t="s">
        <v>13</v>
      </c>
      <c r="C24" s="38">
        <v>1767890</v>
      </c>
      <c r="D24" s="38">
        <v>309520</v>
      </c>
      <c r="E24" s="38">
        <v>3418331</v>
      </c>
      <c r="F24" s="38">
        <v>1482512</v>
      </c>
      <c r="G24" s="38">
        <v>2587944</v>
      </c>
      <c r="H24" s="38">
        <v>4698075</v>
      </c>
      <c r="I24" s="109">
        <v>13644306</v>
      </c>
      <c r="J24" s="109">
        <v>200</v>
      </c>
      <c r="K24" s="38">
        <v>2510460</v>
      </c>
      <c r="L24" s="38">
        <v>13713403</v>
      </c>
      <c r="M24" s="38">
        <v>1874689</v>
      </c>
      <c r="N24" s="38">
        <v>10769625</v>
      </c>
      <c r="O24" s="38">
        <v>1765024</v>
      </c>
      <c r="P24" s="38">
        <v>2141590</v>
      </c>
      <c r="Q24" s="38">
        <v>4950664</v>
      </c>
      <c r="R24" s="38">
        <v>197778</v>
      </c>
      <c r="S24" s="38">
        <v>810329</v>
      </c>
      <c r="T24" s="38">
        <v>25782761</v>
      </c>
      <c r="U24" s="38">
        <v>909490</v>
      </c>
      <c r="V24" s="38">
        <v>748789</v>
      </c>
      <c r="W24" s="38">
        <v>3749316</v>
      </c>
      <c r="X24" s="38">
        <v>3699428</v>
      </c>
      <c r="Y24" s="38">
        <v>1395483</v>
      </c>
      <c r="Z24" s="38">
        <v>1207141</v>
      </c>
      <c r="AA24" s="38">
        <v>1004513</v>
      </c>
      <c r="AB24" s="38">
        <v>2119641</v>
      </c>
      <c r="AC24" s="38">
        <v>6920949</v>
      </c>
      <c r="AD24" s="38">
        <v>477521</v>
      </c>
      <c r="AE24" s="38">
        <v>1132201</v>
      </c>
      <c r="AF24" s="38">
        <v>3465835</v>
      </c>
      <c r="AG24" s="38">
        <v>1954483</v>
      </c>
      <c r="AH24" s="38">
        <v>920786</v>
      </c>
      <c r="AI24" s="38">
        <v>777356</v>
      </c>
      <c r="AJ24" s="38">
        <v>2523</v>
      </c>
      <c r="AK24" s="26">
        <v>122910556</v>
      </c>
      <c r="AL24" s="38">
        <v>28833591</v>
      </c>
      <c r="AM24" s="38">
        <v>0</v>
      </c>
      <c r="AN24" s="38">
        <v>0</v>
      </c>
      <c r="AO24" s="38">
        <v>0</v>
      </c>
      <c r="AP24" s="38">
        <v>0</v>
      </c>
      <c r="AQ24" s="38">
        <v>0</v>
      </c>
      <c r="AR24" s="38">
        <v>163506</v>
      </c>
      <c r="AS24" s="26">
        <v>28997097</v>
      </c>
      <c r="AT24" s="27">
        <v>151907653</v>
      </c>
    </row>
    <row r="25" spans="1:46" ht="13.5" customHeight="1">
      <c r="A25" s="44" t="s">
        <v>66</v>
      </c>
      <c r="B25" s="15" t="s">
        <v>67</v>
      </c>
      <c r="C25" s="38">
        <v>89368</v>
      </c>
      <c r="D25" s="38">
        <v>14541</v>
      </c>
      <c r="E25" s="38">
        <v>826779</v>
      </c>
      <c r="F25" s="38">
        <v>386115</v>
      </c>
      <c r="G25" s="38">
        <v>575476</v>
      </c>
      <c r="H25" s="38">
        <v>130595</v>
      </c>
      <c r="I25" s="109">
        <v>4924306.1122185094</v>
      </c>
      <c r="J25" s="109">
        <v>9.8877814904713581</v>
      </c>
      <c r="K25" s="38">
        <v>637797</v>
      </c>
      <c r="L25" s="38">
        <v>5187656</v>
      </c>
      <c r="M25" s="38">
        <v>905612</v>
      </c>
      <c r="N25" s="38">
        <v>235320</v>
      </c>
      <c r="O25" s="38">
        <v>281475</v>
      </c>
      <c r="P25" s="38">
        <v>742523</v>
      </c>
      <c r="Q25" s="38">
        <v>461476</v>
      </c>
      <c r="R25" s="38">
        <v>55082</v>
      </c>
      <c r="S25" s="38">
        <v>255182</v>
      </c>
      <c r="T25" s="38">
        <v>332905</v>
      </c>
      <c r="U25" s="38">
        <v>2236474</v>
      </c>
      <c r="V25" s="38">
        <v>341237</v>
      </c>
      <c r="W25" s="38">
        <v>165479</v>
      </c>
      <c r="X25" s="38">
        <v>464005</v>
      </c>
      <c r="Y25" s="38">
        <v>2878054</v>
      </c>
      <c r="Z25" s="38">
        <v>361325</v>
      </c>
      <c r="AA25" s="38">
        <v>303706</v>
      </c>
      <c r="AB25" s="38">
        <v>2573899</v>
      </c>
      <c r="AC25" s="38">
        <v>1005874</v>
      </c>
      <c r="AD25" s="38">
        <v>452566</v>
      </c>
      <c r="AE25" s="38">
        <v>1046785</v>
      </c>
      <c r="AF25" s="38">
        <v>1383081</v>
      </c>
      <c r="AG25" s="38">
        <v>1977621</v>
      </c>
      <c r="AH25" s="38">
        <v>421875</v>
      </c>
      <c r="AI25" s="38">
        <v>627650</v>
      </c>
      <c r="AJ25" s="38">
        <v>8234</v>
      </c>
      <c r="AK25" s="26">
        <v>32290083</v>
      </c>
      <c r="AL25" s="38">
        <v>5621462</v>
      </c>
      <c r="AM25" s="38">
        <v>3376692</v>
      </c>
      <c r="AN25" s="38">
        <v>0</v>
      </c>
      <c r="AO25" s="38">
        <v>0</v>
      </c>
      <c r="AP25" s="38">
        <v>0</v>
      </c>
      <c r="AQ25" s="38">
        <v>0</v>
      </c>
      <c r="AR25" s="38">
        <v>703138</v>
      </c>
      <c r="AS25" s="26">
        <v>9701292</v>
      </c>
      <c r="AT25" s="27">
        <v>41991375</v>
      </c>
    </row>
    <row r="26" spans="1:46" ht="13.5" customHeight="1">
      <c r="A26" s="44" t="s">
        <v>68</v>
      </c>
      <c r="B26" s="15" t="s">
        <v>14</v>
      </c>
      <c r="C26" s="38">
        <v>88514</v>
      </c>
      <c r="D26" s="38">
        <v>32490</v>
      </c>
      <c r="E26" s="38">
        <v>115964</v>
      </c>
      <c r="F26" s="38">
        <v>17981</v>
      </c>
      <c r="G26" s="38">
        <v>52301</v>
      </c>
      <c r="H26" s="38">
        <v>105287</v>
      </c>
      <c r="I26" s="109">
        <v>239146.51869444415</v>
      </c>
      <c r="J26" s="109">
        <v>0.48130555584690365</v>
      </c>
      <c r="K26" s="38">
        <v>35374</v>
      </c>
      <c r="L26" s="38">
        <v>173084</v>
      </c>
      <c r="M26" s="38">
        <v>142250</v>
      </c>
      <c r="N26" s="38">
        <v>79641</v>
      </c>
      <c r="O26" s="38">
        <v>106790</v>
      </c>
      <c r="P26" s="38">
        <v>86476</v>
      </c>
      <c r="Q26" s="38">
        <v>23178</v>
      </c>
      <c r="R26" s="38">
        <v>15431</v>
      </c>
      <c r="S26" s="38">
        <v>19997</v>
      </c>
      <c r="T26" s="38">
        <v>294042</v>
      </c>
      <c r="U26" s="38">
        <v>116218</v>
      </c>
      <c r="V26" s="38">
        <v>22772</v>
      </c>
      <c r="W26" s="38">
        <v>382154</v>
      </c>
      <c r="X26" s="38">
        <v>135823</v>
      </c>
      <c r="Y26" s="38">
        <v>862064</v>
      </c>
      <c r="Z26" s="38">
        <v>378330</v>
      </c>
      <c r="AA26" s="38">
        <v>59155</v>
      </c>
      <c r="AB26" s="38">
        <v>18831564</v>
      </c>
      <c r="AC26" s="38">
        <v>837373</v>
      </c>
      <c r="AD26" s="38">
        <v>366211</v>
      </c>
      <c r="AE26" s="38">
        <v>850453</v>
      </c>
      <c r="AF26" s="38">
        <v>169025</v>
      </c>
      <c r="AG26" s="61">
        <v>98138</v>
      </c>
      <c r="AH26" s="61">
        <v>151080</v>
      </c>
      <c r="AI26" s="38">
        <v>166440</v>
      </c>
      <c r="AJ26" s="38">
        <v>8090</v>
      </c>
      <c r="AK26" s="26">
        <v>25062837</v>
      </c>
      <c r="AL26" s="38">
        <v>0</v>
      </c>
      <c r="AM26" s="38">
        <v>0</v>
      </c>
      <c r="AN26" s="38">
        <v>239341758</v>
      </c>
      <c r="AO26" s="38">
        <v>75543183</v>
      </c>
      <c r="AP26" s="38">
        <v>2120576</v>
      </c>
      <c r="AQ26" s="38">
        <v>0</v>
      </c>
      <c r="AR26" s="38">
        <v>171495</v>
      </c>
      <c r="AS26" s="26">
        <v>317177012</v>
      </c>
      <c r="AT26" s="27">
        <v>342239849</v>
      </c>
    </row>
    <row r="27" spans="1:46" ht="13.5" customHeight="1">
      <c r="A27" s="44" t="s">
        <v>69</v>
      </c>
      <c r="B27" s="15" t="s">
        <v>70</v>
      </c>
      <c r="C27" s="38">
        <v>4017209</v>
      </c>
      <c r="D27" s="38">
        <v>92735</v>
      </c>
      <c r="E27" s="38">
        <v>13462055</v>
      </c>
      <c r="F27" s="38">
        <v>6233010</v>
      </c>
      <c r="G27" s="38">
        <v>3475883</v>
      </c>
      <c r="H27" s="38">
        <v>2667447</v>
      </c>
      <c r="I27" s="109">
        <v>16297604.790265253</v>
      </c>
      <c r="J27" s="109">
        <v>31.209734747886156</v>
      </c>
      <c r="K27" s="38">
        <v>2168116</v>
      </c>
      <c r="L27" s="38">
        <v>4793951</v>
      </c>
      <c r="M27" s="38">
        <v>4627359</v>
      </c>
      <c r="N27" s="38">
        <v>12829244</v>
      </c>
      <c r="O27" s="38">
        <v>7574944</v>
      </c>
      <c r="P27" s="38">
        <v>7673225</v>
      </c>
      <c r="Q27" s="38">
        <v>14473615</v>
      </c>
      <c r="R27" s="38">
        <v>2501432</v>
      </c>
      <c r="S27" s="38">
        <v>2360968</v>
      </c>
      <c r="T27" s="38">
        <v>3590237</v>
      </c>
      <c r="U27" s="38">
        <v>1036779</v>
      </c>
      <c r="V27" s="38">
        <v>12332647</v>
      </c>
      <c r="W27" s="38">
        <v>17942218</v>
      </c>
      <c r="X27" s="38">
        <v>3342006</v>
      </c>
      <c r="Y27" s="38">
        <v>17133669</v>
      </c>
      <c r="Z27" s="38">
        <v>8902929</v>
      </c>
      <c r="AA27" s="38">
        <v>532693</v>
      </c>
      <c r="AB27" s="38">
        <v>771050</v>
      </c>
      <c r="AC27" s="38">
        <v>6796534</v>
      </c>
      <c r="AD27" s="38">
        <v>2561456</v>
      </c>
      <c r="AE27" s="38">
        <v>2237644</v>
      </c>
      <c r="AF27" s="38">
        <v>2524334</v>
      </c>
      <c r="AG27" s="61">
        <v>13549614</v>
      </c>
      <c r="AH27" s="61">
        <v>1885064</v>
      </c>
      <c r="AI27" s="38">
        <v>3582370</v>
      </c>
      <c r="AJ27" s="38">
        <v>43486</v>
      </c>
      <c r="AK27" s="26">
        <v>204013559</v>
      </c>
      <c r="AL27" s="38">
        <v>134942015</v>
      </c>
      <c r="AM27" s="38">
        <v>0</v>
      </c>
      <c r="AN27" s="38">
        <v>20207842</v>
      </c>
      <c r="AO27" s="38">
        <v>1806222</v>
      </c>
      <c r="AP27" s="38">
        <v>582671</v>
      </c>
      <c r="AQ27" s="38">
        <v>578417</v>
      </c>
      <c r="AR27" s="38">
        <v>39426548</v>
      </c>
      <c r="AS27" s="26">
        <v>197543715</v>
      </c>
      <c r="AT27" s="27">
        <v>401557274</v>
      </c>
    </row>
    <row r="28" spans="1:46" ht="13.5" customHeight="1">
      <c r="A28" s="44" t="s">
        <v>71</v>
      </c>
      <c r="B28" s="15" t="s">
        <v>42</v>
      </c>
      <c r="C28" s="38">
        <v>1919167</v>
      </c>
      <c r="D28" s="38">
        <v>799284</v>
      </c>
      <c r="E28" s="38">
        <v>6346706</v>
      </c>
      <c r="F28" s="38">
        <v>2668966</v>
      </c>
      <c r="G28" s="38">
        <v>2365196</v>
      </c>
      <c r="H28" s="38">
        <v>1716791</v>
      </c>
      <c r="I28" s="109">
        <v>11761451.759522457</v>
      </c>
      <c r="J28" s="109">
        <v>23.240477543601457</v>
      </c>
      <c r="K28" s="38">
        <v>5779159</v>
      </c>
      <c r="L28" s="38">
        <v>5382372</v>
      </c>
      <c r="M28" s="38">
        <v>3816276</v>
      </c>
      <c r="N28" s="38">
        <v>4240610</v>
      </c>
      <c r="O28" s="38">
        <v>2821897</v>
      </c>
      <c r="P28" s="38">
        <v>4171193</v>
      </c>
      <c r="Q28" s="38">
        <v>3826162</v>
      </c>
      <c r="R28" s="38">
        <v>1062698</v>
      </c>
      <c r="S28" s="38">
        <v>1535413</v>
      </c>
      <c r="T28" s="38">
        <v>700835</v>
      </c>
      <c r="U28" s="38">
        <v>3021647</v>
      </c>
      <c r="V28" s="38">
        <v>3493413</v>
      </c>
      <c r="W28" s="38">
        <v>30984703</v>
      </c>
      <c r="X28" s="38">
        <v>36280065</v>
      </c>
      <c r="Y28" s="38">
        <v>3439509</v>
      </c>
      <c r="Z28" s="38">
        <v>1733366</v>
      </c>
      <c r="AA28" s="38">
        <v>763410</v>
      </c>
      <c r="AB28" s="38">
        <v>734963</v>
      </c>
      <c r="AC28" s="38">
        <v>4637907</v>
      </c>
      <c r="AD28" s="38">
        <v>2409856</v>
      </c>
      <c r="AE28" s="38">
        <v>2789128</v>
      </c>
      <c r="AF28" s="38">
        <v>779792</v>
      </c>
      <c r="AG28" s="61">
        <v>1650316</v>
      </c>
      <c r="AH28" s="61">
        <v>456533</v>
      </c>
      <c r="AI28" s="38">
        <v>1197763</v>
      </c>
      <c r="AJ28" s="38">
        <v>194310</v>
      </c>
      <c r="AK28" s="26">
        <v>155480881</v>
      </c>
      <c r="AL28" s="38">
        <v>46349360</v>
      </c>
      <c r="AM28" s="38">
        <v>0</v>
      </c>
      <c r="AN28" s="38">
        <v>454497</v>
      </c>
      <c r="AO28" s="38">
        <v>177198</v>
      </c>
      <c r="AP28" s="38">
        <v>90062</v>
      </c>
      <c r="AQ28" s="38">
        <v>9663</v>
      </c>
      <c r="AR28" s="38">
        <v>51177729</v>
      </c>
      <c r="AS28" s="26">
        <v>98258509</v>
      </c>
      <c r="AT28" s="27">
        <v>253739390</v>
      </c>
    </row>
    <row r="29" spans="1:46" ht="13.5" customHeight="1">
      <c r="A29" s="44" t="s">
        <v>72</v>
      </c>
      <c r="B29" s="15" t="s">
        <v>15</v>
      </c>
      <c r="C29" s="38">
        <v>486496</v>
      </c>
      <c r="D29" s="38">
        <v>118589</v>
      </c>
      <c r="E29" s="38">
        <v>714237</v>
      </c>
      <c r="F29" s="38">
        <v>554536</v>
      </c>
      <c r="G29" s="38">
        <v>579581</v>
      </c>
      <c r="H29" s="38">
        <v>281811</v>
      </c>
      <c r="I29" s="109">
        <v>1877937.4403341797</v>
      </c>
      <c r="J29" s="109">
        <v>3.5596658203160585</v>
      </c>
      <c r="K29" s="38">
        <v>397497</v>
      </c>
      <c r="L29" s="38">
        <v>909887</v>
      </c>
      <c r="M29" s="38">
        <v>1188218</v>
      </c>
      <c r="N29" s="38">
        <v>1271637</v>
      </c>
      <c r="O29" s="38">
        <v>654787</v>
      </c>
      <c r="P29" s="38">
        <v>1409906</v>
      </c>
      <c r="Q29" s="38">
        <v>1251367</v>
      </c>
      <c r="R29" s="38">
        <v>249705</v>
      </c>
      <c r="S29" s="38">
        <v>2627810</v>
      </c>
      <c r="T29" s="38">
        <v>395221</v>
      </c>
      <c r="U29" s="38">
        <v>706263</v>
      </c>
      <c r="V29" s="38">
        <v>1124688</v>
      </c>
      <c r="W29" s="38">
        <v>16374635</v>
      </c>
      <c r="X29" s="38">
        <v>2603168</v>
      </c>
      <c r="Y29" s="38">
        <v>1489195</v>
      </c>
      <c r="Z29" s="38">
        <v>3506755</v>
      </c>
      <c r="AA29" s="38">
        <v>4440413</v>
      </c>
      <c r="AB29" s="38">
        <v>2669324</v>
      </c>
      <c r="AC29" s="38">
        <v>13245276</v>
      </c>
      <c r="AD29" s="38">
        <v>4849979</v>
      </c>
      <c r="AE29" s="38">
        <v>5957103</v>
      </c>
      <c r="AF29" s="38">
        <v>4252669</v>
      </c>
      <c r="AG29" s="61">
        <v>5569033</v>
      </c>
      <c r="AH29" s="61">
        <v>2299807</v>
      </c>
      <c r="AI29" s="38">
        <v>5143416</v>
      </c>
      <c r="AJ29" s="38">
        <v>7472</v>
      </c>
      <c r="AK29" s="26">
        <v>89208422</v>
      </c>
      <c r="AL29" s="38">
        <v>143478057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38">
        <v>10651506</v>
      </c>
      <c r="AS29" s="26">
        <v>154129563</v>
      </c>
      <c r="AT29" s="27">
        <v>243337985</v>
      </c>
    </row>
    <row r="30" spans="1:46" ht="13.5" customHeight="1">
      <c r="A30" s="44" t="s">
        <v>73</v>
      </c>
      <c r="B30" s="15" t="s">
        <v>16</v>
      </c>
      <c r="C30" s="38">
        <v>188130</v>
      </c>
      <c r="D30" s="38">
        <v>26237</v>
      </c>
      <c r="E30" s="38">
        <v>380285</v>
      </c>
      <c r="F30" s="38">
        <v>190878</v>
      </c>
      <c r="G30" s="38">
        <v>371296</v>
      </c>
      <c r="H30" s="38">
        <v>552800</v>
      </c>
      <c r="I30" s="109">
        <v>883075.44382445584</v>
      </c>
      <c r="J30" s="109">
        <v>1.5561755441015928</v>
      </c>
      <c r="K30" s="38">
        <v>168970</v>
      </c>
      <c r="L30" s="38">
        <v>631418</v>
      </c>
      <c r="M30" s="38">
        <v>565439</v>
      </c>
      <c r="N30" s="38">
        <v>1494611</v>
      </c>
      <c r="O30" s="38">
        <v>449424</v>
      </c>
      <c r="P30" s="38">
        <v>653347</v>
      </c>
      <c r="Q30" s="38">
        <v>799174</v>
      </c>
      <c r="R30" s="38">
        <v>268440</v>
      </c>
      <c r="S30" s="38">
        <v>621396</v>
      </c>
      <c r="T30" s="38">
        <v>203385</v>
      </c>
      <c r="U30" s="38">
        <v>580315</v>
      </c>
      <c r="V30" s="38">
        <v>863463</v>
      </c>
      <c r="W30" s="38">
        <v>10892513</v>
      </c>
      <c r="X30" s="38">
        <v>2462241</v>
      </c>
      <c r="Y30" s="38">
        <v>2378818</v>
      </c>
      <c r="Z30" s="38">
        <v>36692460</v>
      </c>
      <c r="AA30" s="38">
        <v>10613194</v>
      </c>
      <c r="AB30" s="38">
        <v>1313214</v>
      </c>
      <c r="AC30" s="38">
        <v>23465329</v>
      </c>
      <c r="AD30" s="38">
        <v>2729996</v>
      </c>
      <c r="AE30" s="38">
        <v>4923042</v>
      </c>
      <c r="AF30" s="38">
        <v>4578307</v>
      </c>
      <c r="AG30" s="61">
        <v>1581861</v>
      </c>
      <c r="AH30" s="61">
        <v>4156063</v>
      </c>
      <c r="AI30" s="38">
        <v>1552462</v>
      </c>
      <c r="AJ30" s="38">
        <v>39355</v>
      </c>
      <c r="AK30" s="26">
        <v>117270940</v>
      </c>
      <c r="AL30" s="38">
        <v>57033560</v>
      </c>
      <c r="AM30" s="38">
        <v>0</v>
      </c>
      <c r="AN30" s="38">
        <v>43922864</v>
      </c>
      <c r="AO30" s="38">
        <v>791918</v>
      </c>
      <c r="AP30" s="38">
        <v>37855</v>
      </c>
      <c r="AQ30" s="38">
        <v>0</v>
      </c>
      <c r="AR30" s="38">
        <v>21485525</v>
      </c>
      <c r="AS30" s="26">
        <v>123271722</v>
      </c>
      <c r="AT30" s="27">
        <v>240542662</v>
      </c>
    </row>
    <row r="31" spans="1:46" ht="13.5" customHeight="1">
      <c r="A31" s="44" t="s">
        <v>74</v>
      </c>
      <c r="B31" s="15" t="s">
        <v>17</v>
      </c>
      <c r="C31" s="38">
        <v>1170064</v>
      </c>
      <c r="D31" s="38">
        <v>65479</v>
      </c>
      <c r="E31" s="38">
        <v>1831397</v>
      </c>
      <c r="F31" s="38">
        <v>1070524</v>
      </c>
      <c r="G31" s="38">
        <v>845742</v>
      </c>
      <c r="H31" s="38">
        <v>1187810</v>
      </c>
      <c r="I31" s="109">
        <v>4178057.7579749385</v>
      </c>
      <c r="J31" s="109">
        <v>8.2420250615096986</v>
      </c>
      <c r="K31" s="38">
        <v>684791</v>
      </c>
      <c r="L31" s="38">
        <v>1732784</v>
      </c>
      <c r="M31" s="38">
        <v>1829612</v>
      </c>
      <c r="N31" s="38">
        <v>2949714</v>
      </c>
      <c r="O31" s="38">
        <v>1708449</v>
      </c>
      <c r="P31" s="38">
        <v>2643984</v>
      </c>
      <c r="Q31" s="38">
        <v>3028415</v>
      </c>
      <c r="R31" s="38">
        <v>377441</v>
      </c>
      <c r="S31" s="38">
        <v>688620</v>
      </c>
      <c r="T31" s="38">
        <v>1513844</v>
      </c>
      <c r="U31" s="38">
        <v>716668</v>
      </c>
      <c r="V31" s="38">
        <v>4692734</v>
      </c>
      <c r="W31" s="38">
        <v>9394744</v>
      </c>
      <c r="X31" s="38">
        <v>2698034</v>
      </c>
      <c r="Y31" s="38">
        <v>3596568</v>
      </c>
      <c r="Z31" s="38">
        <v>2479141</v>
      </c>
      <c r="AA31" s="38">
        <v>42355592</v>
      </c>
      <c r="AB31" s="38">
        <v>21428865</v>
      </c>
      <c r="AC31" s="38">
        <v>3519114</v>
      </c>
      <c r="AD31" s="38">
        <v>1570014</v>
      </c>
      <c r="AE31" s="38">
        <v>4774938</v>
      </c>
      <c r="AF31" s="38">
        <v>3079717</v>
      </c>
      <c r="AG31" s="38">
        <v>4478359</v>
      </c>
      <c r="AH31" s="38">
        <v>1171943</v>
      </c>
      <c r="AI31" s="38">
        <v>1838555</v>
      </c>
      <c r="AJ31" s="38">
        <v>0</v>
      </c>
      <c r="AK31" s="26">
        <v>135301722</v>
      </c>
      <c r="AL31" s="38">
        <v>94642976</v>
      </c>
      <c r="AM31" s="38">
        <v>149222</v>
      </c>
      <c r="AN31" s="38">
        <v>0</v>
      </c>
      <c r="AO31" s="38">
        <v>0</v>
      </c>
      <c r="AP31" s="38">
        <v>0</v>
      </c>
      <c r="AQ31" s="38">
        <v>0</v>
      </c>
      <c r="AR31" s="38">
        <v>9183457</v>
      </c>
      <c r="AS31" s="26">
        <v>103975655</v>
      </c>
      <c r="AT31" s="27">
        <v>239277377</v>
      </c>
    </row>
    <row r="32" spans="1:46" ht="13.5" customHeight="1">
      <c r="A32" s="44" t="s">
        <v>75</v>
      </c>
      <c r="B32" s="15" t="s">
        <v>76</v>
      </c>
      <c r="C32" s="38">
        <v>35782</v>
      </c>
      <c r="D32" s="38">
        <v>6525</v>
      </c>
      <c r="E32" s="38">
        <v>355125</v>
      </c>
      <c r="F32" s="38">
        <v>278962</v>
      </c>
      <c r="G32" s="38">
        <v>194301</v>
      </c>
      <c r="H32" s="38">
        <v>125920</v>
      </c>
      <c r="I32" s="109">
        <v>476380.07614957716</v>
      </c>
      <c r="J32" s="109">
        <v>0.92385042282568697</v>
      </c>
      <c r="K32" s="38">
        <v>68563</v>
      </c>
      <c r="L32" s="38">
        <v>208273</v>
      </c>
      <c r="M32" s="38">
        <v>211950</v>
      </c>
      <c r="N32" s="38">
        <v>350672</v>
      </c>
      <c r="O32" s="38">
        <v>334244</v>
      </c>
      <c r="P32" s="38">
        <v>210151</v>
      </c>
      <c r="Q32" s="38">
        <v>324469</v>
      </c>
      <c r="R32" s="38">
        <v>144474</v>
      </c>
      <c r="S32" s="38">
        <v>448306</v>
      </c>
      <c r="T32" s="38">
        <v>74004</v>
      </c>
      <c r="U32" s="38">
        <v>540288</v>
      </c>
      <c r="V32" s="38">
        <v>533213</v>
      </c>
      <c r="W32" s="38">
        <v>19558837</v>
      </c>
      <c r="X32" s="38">
        <v>1784815</v>
      </c>
      <c r="Y32" s="38">
        <v>10709339</v>
      </c>
      <c r="Z32" s="38">
        <v>2207460</v>
      </c>
      <c r="AA32" s="38">
        <v>3792337</v>
      </c>
      <c r="AB32" s="38">
        <v>7890746</v>
      </c>
      <c r="AC32" s="38">
        <v>9191886</v>
      </c>
      <c r="AD32" s="38">
        <v>2186463</v>
      </c>
      <c r="AE32" s="38">
        <v>1163421</v>
      </c>
      <c r="AF32" s="38">
        <v>3880427</v>
      </c>
      <c r="AG32" s="38">
        <v>4078970</v>
      </c>
      <c r="AH32" s="38">
        <v>633246</v>
      </c>
      <c r="AI32" s="38">
        <v>1824621</v>
      </c>
      <c r="AJ32" s="38">
        <v>3335</v>
      </c>
      <c r="AK32" s="26">
        <v>73827506</v>
      </c>
      <c r="AL32" s="38">
        <v>153308641</v>
      </c>
      <c r="AM32" s="38">
        <v>0</v>
      </c>
      <c r="AN32" s="38">
        <v>45947699</v>
      </c>
      <c r="AO32" s="38">
        <v>16733</v>
      </c>
      <c r="AP32" s="38">
        <v>0</v>
      </c>
      <c r="AQ32" s="38">
        <v>0</v>
      </c>
      <c r="AR32" s="38">
        <v>321254</v>
      </c>
      <c r="AS32" s="26">
        <v>199594327</v>
      </c>
      <c r="AT32" s="27">
        <v>273421833</v>
      </c>
    </row>
    <row r="33" spans="1:46" ht="13.5" customHeight="1">
      <c r="A33" s="44" t="s">
        <v>77</v>
      </c>
      <c r="B33" s="15" t="s">
        <v>43</v>
      </c>
      <c r="C33" s="38">
        <v>1230473</v>
      </c>
      <c r="D33" s="38">
        <v>257566</v>
      </c>
      <c r="E33" s="38">
        <v>9618973</v>
      </c>
      <c r="F33" s="38">
        <v>1881685</v>
      </c>
      <c r="G33" s="38">
        <v>1682908</v>
      </c>
      <c r="H33" s="38">
        <v>3511875</v>
      </c>
      <c r="I33" s="109">
        <v>18948019.070464</v>
      </c>
      <c r="J33" s="109">
        <v>33.929535998560318</v>
      </c>
      <c r="K33" s="38">
        <v>2179447</v>
      </c>
      <c r="L33" s="38">
        <v>7371240</v>
      </c>
      <c r="M33" s="38">
        <v>4295878</v>
      </c>
      <c r="N33" s="38">
        <v>11626563</v>
      </c>
      <c r="O33" s="38">
        <v>6823690</v>
      </c>
      <c r="P33" s="38">
        <v>7505694</v>
      </c>
      <c r="Q33" s="38">
        <v>12591254</v>
      </c>
      <c r="R33" s="38">
        <v>1360367</v>
      </c>
      <c r="S33" s="38">
        <v>3805291</v>
      </c>
      <c r="T33" s="38">
        <v>2280424</v>
      </c>
      <c r="U33" s="38">
        <v>2936927</v>
      </c>
      <c r="V33" s="38">
        <v>28622476</v>
      </c>
      <c r="W33" s="38">
        <v>22823766</v>
      </c>
      <c r="X33" s="38">
        <v>7912817</v>
      </c>
      <c r="Y33" s="38">
        <v>5094884</v>
      </c>
      <c r="Z33" s="38">
        <v>14986875</v>
      </c>
      <c r="AA33" s="38">
        <v>6840647</v>
      </c>
      <c r="AB33" s="38">
        <v>4227609</v>
      </c>
      <c r="AC33" s="38">
        <v>24810456</v>
      </c>
      <c r="AD33" s="38">
        <v>6999656</v>
      </c>
      <c r="AE33" s="38">
        <v>3481462</v>
      </c>
      <c r="AF33" s="38">
        <v>4600680</v>
      </c>
      <c r="AG33" s="38">
        <v>1629722</v>
      </c>
      <c r="AH33" s="38">
        <v>1508855</v>
      </c>
      <c r="AI33" s="38">
        <v>2418433</v>
      </c>
      <c r="AJ33" s="38">
        <v>7349</v>
      </c>
      <c r="AK33" s="26">
        <v>235873995</v>
      </c>
      <c r="AL33" s="38">
        <v>6460233</v>
      </c>
      <c r="AM33" s="38">
        <v>0</v>
      </c>
      <c r="AN33" s="38">
        <v>104012843</v>
      </c>
      <c r="AO33" s="38">
        <v>15365704</v>
      </c>
      <c r="AP33" s="38">
        <v>0</v>
      </c>
      <c r="AQ33" s="38">
        <v>0</v>
      </c>
      <c r="AR33" s="38">
        <v>31221303</v>
      </c>
      <c r="AS33" s="26">
        <v>157060083</v>
      </c>
      <c r="AT33" s="27">
        <v>392934078</v>
      </c>
    </row>
    <row r="34" spans="1:46" ht="13.5" customHeight="1">
      <c r="A34" s="44" t="s">
        <v>78</v>
      </c>
      <c r="B34" s="15" t="s">
        <v>18</v>
      </c>
      <c r="C34" s="38">
        <v>232607</v>
      </c>
      <c r="D34" s="38">
        <v>256192</v>
      </c>
      <c r="E34" s="38">
        <v>888725</v>
      </c>
      <c r="F34" s="38">
        <v>524167</v>
      </c>
      <c r="G34" s="38">
        <v>659457</v>
      </c>
      <c r="H34" s="38">
        <v>811324</v>
      </c>
      <c r="I34" s="109">
        <v>1947728.7934108675</v>
      </c>
      <c r="J34" s="109">
        <v>3.2065891325232885</v>
      </c>
      <c r="K34" s="38">
        <v>341697</v>
      </c>
      <c r="L34" s="38">
        <v>2356312</v>
      </c>
      <c r="M34" s="38">
        <v>1409721</v>
      </c>
      <c r="N34" s="38">
        <v>2786694</v>
      </c>
      <c r="O34" s="38">
        <v>1013169</v>
      </c>
      <c r="P34" s="38">
        <v>895704</v>
      </c>
      <c r="Q34" s="38">
        <v>4645446</v>
      </c>
      <c r="R34" s="38">
        <v>216223</v>
      </c>
      <c r="S34" s="38">
        <v>4217670</v>
      </c>
      <c r="T34" s="38">
        <v>1358339</v>
      </c>
      <c r="U34" s="38">
        <v>1595665</v>
      </c>
      <c r="V34" s="38">
        <v>9747820</v>
      </c>
      <c r="W34" s="38">
        <v>13062215</v>
      </c>
      <c r="X34" s="38">
        <v>12267348</v>
      </c>
      <c r="Y34" s="38">
        <v>1916900</v>
      </c>
      <c r="Z34" s="38">
        <v>9694849</v>
      </c>
      <c r="AA34" s="38">
        <v>9964464</v>
      </c>
      <c r="AB34" s="38">
        <v>12003595</v>
      </c>
      <c r="AC34" s="38">
        <v>17187438</v>
      </c>
      <c r="AD34" s="38">
        <v>12801755</v>
      </c>
      <c r="AE34" s="38">
        <v>5960451</v>
      </c>
      <c r="AF34" s="38">
        <v>3886241</v>
      </c>
      <c r="AG34" s="38">
        <v>3157354</v>
      </c>
      <c r="AH34" s="38">
        <v>3473401</v>
      </c>
      <c r="AI34" s="38">
        <v>928798</v>
      </c>
      <c r="AJ34" s="38">
        <v>5248</v>
      </c>
      <c r="AK34" s="26">
        <v>142214721</v>
      </c>
      <c r="AL34" s="38">
        <v>8531599</v>
      </c>
      <c r="AM34" s="38">
        <v>0</v>
      </c>
      <c r="AN34" s="38">
        <v>0</v>
      </c>
      <c r="AO34" s="38">
        <v>0</v>
      </c>
      <c r="AP34" s="38">
        <v>0</v>
      </c>
      <c r="AQ34" s="38">
        <v>0</v>
      </c>
      <c r="AR34" s="38">
        <v>15690205</v>
      </c>
      <c r="AS34" s="26">
        <v>24221804</v>
      </c>
      <c r="AT34" s="27">
        <v>166436525</v>
      </c>
    </row>
    <row r="35" spans="1:46" ht="13.5" customHeight="1">
      <c r="A35" s="44" t="s">
        <v>79</v>
      </c>
      <c r="B35" s="15" t="s">
        <v>80</v>
      </c>
      <c r="C35" s="38">
        <v>109126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109">
        <v>0</v>
      </c>
      <c r="J35" s="109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658474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4326091</v>
      </c>
      <c r="AK35" s="26">
        <v>5093691</v>
      </c>
      <c r="AL35" s="38">
        <v>4098405</v>
      </c>
      <c r="AM35" s="38">
        <v>193826946</v>
      </c>
      <c r="AN35" s="38">
        <v>0</v>
      </c>
      <c r="AO35" s="38">
        <v>0</v>
      </c>
      <c r="AP35" s="38">
        <v>0</v>
      </c>
      <c r="AQ35" s="38">
        <v>0</v>
      </c>
      <c r="AR35" s="38">
        <v>34003</v>
      </c>
      <c r="AS35" s="26">
        <v>197959354</v>
      </c>
      <c r="AT35" s="27">
        <v>203053045</v>
      </c>
    </row>
    <row r="36" spans="1:46" ht="13.5" customHeight="1">
      <c r="A36" s="44" t="s">
        <v>81</v>
      </c>
      <c r="B36" s="15" t="s">
        <v>19</v>
      </c>
      <c r="C36" s="38">
        <v>3254</v>
      </c>
      <c r="D36" s="38">
        <v>1120</v>
      </c>
      <c r="E36" s="38">
        <v>41844</v>
      </c>
      <c r="F36" s="38">
        <v>10830</v>
      </c>
      <c r="G36" s="38">
        <v>22754</v>
      </c>
      <c r="H36" s="38">
        <v>31935</v>
      </c>
      <c r="I36" s="109">
        <v>135395.72764472605</v>
      </c>
      <c r="J36" s="109">
        <v>0.27235527395391201</v>
      </c>
      <c r="K36" s="38">
        <v>20017</v>
      </c>
      <c r="L36" s="38">
        <v>81546</v>
      </c>
      <c r="M36" s="38">
        <v>107012</v>
      </c>
      <c r="N36" s="38">
        <v>83896</v>
      </c>
      <c r="O36" s="38">
        <v>77682</v>
      </c>
      <c r="P36" s="38">
        <v>102937</v>
      </c>
      <c r="Q36" s="38">
        <v>65511</v>
      </c>
      <c r="R36" s="38">
        <v>4493</v>
      </c>
      <c r="S36" s="38">
        <v>252388</v>
      </c>
      <c r="T36" s="38">
        <v>25845</v>
      </c>
      <c r="U36" s="38">
        <v>25311</v>
      </c>
      <c r="V36" s="38">
        <v>73874</v>
      </c>
      <c r="W36" s="38">
        <v>864077</v>
      </c>
      <c r="X36" s="38">
        <v>69496</v>
      </c>
      <c r="Y36" s="38">
        <v>93517</v>
      </c>
      <c r="Z36" s="38">
        <v>149972</v>
      </c>
      <c r="AA36" s="38">
        <v>339905</v>
      </c>
      <c r="AB36" s="38">
        <v>184460</v>
      </c>
      <c r="AC36" s="38">
        <v>421279</v>
      </c>
      <c r="AD36" s="38">
        <v>83397</v>
      </c>
      <c r="AE36" s="38">
        <v>15198</v>
      </c>
      <c r="AF36" s="38">
        <v>76153</v>
      </c>
      <c r="AG36" s="38">
        <v>24040</v>
      </c>
      <c r="AH36" s="38">
        <v>21001</v>
      </c>
      <c r="AI36" s="38">
        <v>93883</v>
      </c>
      <c r="AJ36" s="38">
        <v>676</v>
      </c>
      <c r="AK36" s="26">
        <v>3604699</v>
      </c>
      <c r="AL36" s="38">
        <v>63476835</v>
      </c>
      <c r="AM36" s="38">
        <v>89090202</v>
      </c>
      <c r="AN36" s="38">
        <v>0</v>
      </c>
      <c r="AO36" s="38">
        <v>0</v>
      </c>
      <c r="AP36" s="38">
        <v>0</v>
      </c>
      <c r="AQ36" s="38">
        <v>0</v>
      </c>
      <c r="AR36" s="38">
        <v>319935</v>
      </c>
      <c r="AS36" s="26">
        <v>152886972</v>
      </c>
      <c r="AT36" s="27">
        <v>156491671</v>
      </c>
    </row>
    <row r="37" spans="1:46" ht="13.5" customHeight="1">
      <c r="A37" s="44" t="s">
        <v>82</v>
      </c>
      <c r="B37" s="15" t="s">
        <v>83</v>
      </c>
      <c r="C37" s="38">
        <v>84351</v>
      </c>
      <c r="D37" s="38">
        <v>14497</v>
      </c>
      <c r="E37" s="38">
        <v>128422</v>
      </c>
      <c r="F37" s="38">
        <v>54243</v>
      </c>
      <c r="G37" s="38">
        <v>69491</v>
      </c>
      <c r="H37" s="38">
        <v>32427</v>
      </c>
      <c r="I37" s="109">
        <v>217064.56313469395</v>
      </c>
      <c r="J37" s="109">
        <v>0.43686530604696766</v>
      </c>
      <c r="K37" s="38">
        <v>42381</v>
      </c>
      <c r="L37" s="38">
        <v>112512</v>
      </c>
      <c r="M37" s="38">
        <v>173400</v>
      </c>
      <c r="N37" s="38">
        <v>151296</v>
      </c>
      <c r="O37" s="38">
        <v>118630</v>
      </c>
      <c r="P37" s="38">
        <v>214771</v>
      </c>
      <c r="Q37" s="38">
        <v>276179</v>
      </c>
      <c r="R37" s="38">
        <v>30648</v>
      </c>
      <c r="S37" s="38">
        <v>207648</v>
      </c>
      <c r="T37" s="38">
        <v>36827</v>
      </c>
      <c r="U37" s="38">
        <v>141683</v>
      </c>
      <c r="V37" s="38">
        <v>396109</v>
      </c>
      <c r="W37" s="38">
        <v>1295505</v>
      </c>
      <c r="X37" s="38">
        <v>149288</v>
      </c>
      <c r="Y37" s="38">
        <v>490823</v>
      </c>
      <c r="Z37" s="38">
        <v>305107</v>
      </c>
      <c r="AA37" s="38">
        <v>427331</v>
      </c>
      <c r="AB37" s="38">
        <v>224359</v>
      </c>
      <c r="AC37" s="38">
        <v>779138</v>
      </c>
      <c r="AD37" s="38">
        <v>272949</v>
      </c>
      <c r="AE37" s="38">
        <v>74029</v>
      </c>
      <c r="AF37" s="38">
        <v>294134</v>
      </c>
      <c r="AG37" s="38">
        <v>548317</v>
      </c>
      <c r="AH37" s="38">
        <v>203582</v>
      </c>
      <c r="AI37" s="38">
        <v>166511</v>
      </c>
      <c r="AJ37" s="38">
        <v>853</v>
      </c>
      <c r="AK37" s="26">
        <v>7734506</v>
      </c>
      <c r="AL37" s="38">
        <v>74155571</v>
      </c>
      <c r="AM37" s="38">
        <v>136924224</v>
      </c>
      <c r="AN37" s="38">
        <v>0</v>
      </c>
      <c r="AO37" s="38">
        <v>0</v>
      </c>
      <c r="AP37" s="38">
        <v>0</v>
      </c>
      <c r="AQ37" s="38">
        <v>0</v>
      </c>
      <c r="AR37" s="38">
        <v>766926</v>
      </c>
      <c r="AS37" s="26">
        <v>211846721</v>
      </c>
      <c r="AT37" s="27">
        <v>219581227</v>
      </c>
    </row>
    <row r="38" spans="1:46" ht="13.5" customHeight="1">
      <c r="A38" s="44" t="s">
        <v>84</v>
      </c>
      <c r="B38" s="15" t="s">
        <v>85</v>
      </c>
      <c r="C38" s="38">
        <v>65624</v>
      </c>
      <c r="D38" s="38">
        <v>36520</v>
      </c>
      <c r="E38" s="38">
        <v>133790</v>
      </c>
      <c r="F38" s="38">
        <v>96597</v>
      </c>
      <c r="G38" s="38">
        <v>97174</v>
      </c>
      <c r="H38" s="38">
        <v>65952</v>
      </c>
      <c r="I38" s="109">
        <v>329183.34044840804</v>
      </c>
      <c r="J38" s="109">
        <v>0.65955159196534607</v>
      </c>
      <c r="K38" s="38">
        <v>64236</v>
      </c>
      <c r="L38" s="38">
        <v>260337</v>
      </c>
      <c r="M38" s="38">
        <v>250041</v>
      </c>
      <c r="N38" s="38">
        <v>128017</v>
      </c>
      <c r="O38" s="38">
        <v>127452</v>
      </c>
      <c r="P38" s="38">
        <v>225010</v>
      </c>
      <c r="Q38" s="38">
        <v>112948</v>
      </c>
      <c r="R38" s="38">
        <v>33023</v>
      </c>
      <c r="S38" s="38">
        <v>270400</v>
      </c>
      <c r="T38" s="38">
        <v>55450</v>
      </c>
      <c r="U38" s="38">
        <v>123625</v>
      </c>
      <c r="V38" s="38">
        <v>262368</v>
      </c>
      <c r="W38" s="38">
        <v>388876</v>
      </c>
      <c r="X38" s="38">
        <v>637782</v>
      </c>
      <c r="Y38" s="38">
        <v>136211</v>
      </c>
      <c r="Z38" s="38">
        <v>2065257</v>
      </c>
      <c r="AA38" s="38">
        <v>623398</v>
      </c>
      <c r="AB38" s="38">
        <v>269687</v>
      </c>
      <c r="AC38" s="38">
        <v>1931388</v>
      </c>
      <c r="AD38" s="38">
        <v>535378</v>
      </c>
      <c r="AE38" s="38">
        <v>166633</v>
      </c>
      <c r="AF38" s="38">
        <v>1103277</v>
      </c>
      <c r="AG38" s="38">
        <v>340119</v>
      </c>
      <c r="AH38" s="38">
        <v>2691433</v>
      </c>
      <c r="AI38" s="38">
        <v>369181</v>
      </c>
      <c r="AJ38" s="38">
        <v>1604</v>
      </c>
      <c r="AK38" s="26">
        <v>13997972</v>
      </c>
      <c r="AL38" s="38">
        <v>46878460</v>
      </c>
      <c r="AM38" s="38">
        <v>4781313</v>
      </c>
      <c r="AN38" s="38">
        <v>1094342</v>
      </c>
      <c r="AO38" s="38">
        <v>0</v>
      </c>
      <c r="AP38" s="38">
        <v>0</v>
      </c>
      <c r="AQ38" s="38">
        <v>1272</v>
      </c>
      <c r="AR38" s="38">
        <v>2880068</v>
      </c>
      <c r="AS38" s="26">
        <v>55635455</v>
      </c>
      <c r="AT38" s="27">
        <v>69633427</v>
      </c>
    </row>
    <row r="39" spans="1:46" ht="13.5" customHeight="1">
      <c r="A39" s="44" t="s">
        <v>86</v>
      </c>
      <c r="B39" s="15" t="s">
        <v>87</v>
      </c>
      <c r="C39" s="38">
        <v>99840</v>
      </c>
      <c r="D39" s="38">
        <v>31140</v>
      </c>
      <c r="E39" s="38">
        <v>298331</v>
      </c>
      <c r="F39" s="38">
        <v>102590</v>
      </c>
      <c r="G39" s="38">
        <v>112019</v>
      </c>
      <c r="H39" s="38">
        <v>149736</v>
      </c>
      <c r="I39" s="109">
        <v>383962.30497832235</v>
      </c>
      <c r="J39" s="109">
        <v>0.69502167767134082</v>
      </c>
      <c r="K39" s="38">
        <v>138133</v>
      </c>
      <c r="L39" s="38">
        <v>363796</v>
      </c>
      <c r="M39" s="38">
        <v>358040</v>
      </c>
      <c r="N39" s="38">
        <v>430903</v>
      </c>
      <c r="O39" s="38">
        <v>295152</v>
      </c>
      <c r="P39" s="38">
        <v>412933</v>
      </c>
      <c r="Q39" s="38">
        <v>351127</v>
      </c>
      <c r="R39" s="38">
        <v>37455</v>
      </c>
      <c r="S39" s="38">
        <v>625262</v>
      </c>
      <c r="T39" s="38">
        <v>66845</v>
      </c>
      <c r="U39" s="38">
        <v>363837</v>
      </c>
      <c r="V39" s="38">
        <v>595101</v>
      </c>
      <c r="W39" s="38">
        <v>3558930</v>
      </c>
      <c r="X39" s="38">
        <v>3307975</v>
      </c>
      <c r="Y39" s="38">
        <v>647051</v>
      </c>
      <c r="Z39" s="38">
        <v>731847</v>
      </c>
      <c r="AA39" s="38">
        <v>931008</v>
      </c>
      <c r="AB39" s="38">
        <v>440411</v>
      </c>
      <c r="AC39" s="38">
        <v>2658213</v>
      </c>
      <c r="AD39" s="38">
        <v>1459730</v>
      </c>
      <c r="AE39" s="38">
        <v>355554</v>
      </c>
      <c r="AF39" s="38">
        <v>1314276</v>
      </c>
      <c r="AG39" s="38">
        <v>438915</v>
      </c>
      <c r="AH39" s="38">
        <v>521658</v>
      </c>
      <c r="AI39" s="38">
        <v>630784</v>
      </c>
      <c r="AJ39" s="38">
        <v>843</v>
      </c>
      <c r="AK39" s="26">
        <v>22213398</v>
      </c>
      <c r="AL39" s="38">
        <v>59295383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38">
        <v>1747533</v>
      </c>
      <c r="AS39" s="26">
        <v>61042916</v>
      </c>
      <c r="AT39" s="27">
        <v>83256314</v>
      </c>
    </row>
    <row r="40" spans="1:46" ht="13.5" customHeight="1">
      <c r="A40" s="44" t="s">
        <v>88</v>
      </c>
      <c r="B40" s="15" t="s">
        <v>89</v>
      </c>
      <c r="C40" s="38">
        <v>269414</v>
      </c>
      <c r="D40" s="38">
        <v>15963</v>
      </c>
      <c r="E40" s="38">
        <v>83286</v>
      </c>
      <c r="F40" s="38">
        <v>18483</v>
      </c>
      <c r="G40" s="38">
        <v>75392</v>
      </c>
      <c r="H40" s="38">
        <v>137738</v>
      </c>
      <c r="I40" s="109">
        <v>792650.40470753657</v>
      </c>
      <c r="J40" s="109">
        <v>1.5952924634037782</v>
      </c>
      <c r="K40" s="38">
        <v>23147</v>
      </c>
      <c r="L40" s="38">
        <v>42575</v>
      </c>
      <c r="M40" s="38">
        <v>131618</v>
      </c>
      <c r="N40" s="38">
        <v>63701</v>
      </c>
      <c r="O40" s="38">
        <v>54728</v>
      </c>
      <c r="P40" s="38">
        <v>91336</v>
      </c>
      <c r="Q40" s="38">
        <v>23958</v>
      </c>
      <c r="R40" s="38">
        <v>18948</v>
      </c>
      <c r="S40" s="38">
        <v>433554</v>
      </c>
      <c r="T40" s="38">
        <v>142445</v>
      </c>
      <c r="U40" s="38">
        <v>40948</v>
      </c>
      <c r="V40" s="38">
        <v>32265</v>
      </c>
      <c r="W40" s="38">
        <v>492128</v>
      </c>
      <c r="X40" s="38">
        <v>55217</v>
      </c>
      <c r="Y40" s="38">
        <v>250478</v>
      </c>
      <c r="Z40" s="38">
        <v>428335</v>
      </c>
      <c r="AA40" s="38">
        <v>58639</v>
      </c>
      <c r="AB40" s="38">
        <v>537173</v>
      </c>
      <c r="AC40" s="38">
        <v>239556</v>
      </c>
      <c r="AD40" s="38">
        <v>179839</v>
      </c>
      <c r="AE40" s="38">
        <v>45902</v>
      </c>
      <c r="AF40" s="38">
        <v>36693</v>
      </c>
      <c r="AG40" s="38">
        <v>373801</v>
      </c>
      <c r="AH40" s="38">
        <v>101652</v>
      </c>
      <c r="AI40" s="38">
        <v>54194</v>
      </c>
      <c r="AJ40" s="38">
        <v>109679</v>
      </c>
      <c r="AK40" s="26">
        <v>5455437</v>
      </c>
      <c r="AL40" s="38">
        <v>-435478</v>
      </c>
      <c r="AM40" s="38">
        <v>0</v>
      </c>
      <c r="AN40" s="38">
        <v>0</v>
      </c>
      <c r="AO40" s="38">
        <v>0</v>
      </c>
      <c r="AP40" s="38">
        <v>0</v>
      </c>
      <c r="AQ40" s="38">
        <v>0</v>
      </c>
      <c r="AR40" s="38">
        <v>0</v>
      </c>
      <c r="AS40" s="26">
        <v>-435478</v>
      </c>
      <c r="AT40" s="27">
        <v>5019959</v>
      </c>
    </row>
    <row r="41" spans="1:46" ht="13.5" customHeight="1">
      <c r="A41" s="46" t="s">
        <v>91</v>
      </c>
      <c r="B41" s="16" t="s">
        <v>20</v>
      </c>
      <c r="C41" s="40">
        <v>39166528</v>
      </c>
      <c r="D41" s="40">
        <v>3169491</v>
      </c>
      <c r="E41" s="40">
        <v>139457033</v>
      </c>
      <c r="F41" s="40">
        <v>57298913</v>
      </c>
      <c r="G41" s="40">
        <v>39700938</v>
      </c>
      <c r="H41" s="40">
        <v>143573392</v>
      </c>
      <c r="I41" s="121">
        <v>285565161</v>
      </c>
      <c r="J41" s="121">
        <v>650.00000000080479</v>
      </c>
      <c r="K41" s="40">
        <v>37404675</v>
      </c>
      <c r="L41" s="40">
        <v>154477519</v>
      </c>
      <c r="M41" s="40">
        <v>92011168</v>
      </c>
      <c r="N41" s="40">
        <v>221737214</v>
      </c>
      <c r="O41" s="40">
        <v>135088695</v>
      </c>
      <c r="P41" s="40">
        <v>138660261</v>
      </c>
      <c r="Q41" s="40">
        <v>269883451</v>
      </c>
      <c r="R41" s="40">
        <v>21105797</v>
      </c>
      <c r="S41" s="40">
        <v>51124252</v>
      </c>
      <c r="T41" s="40">
        <v>120649253</v>
      </c>
      <c r="U41" s="40">
        <v>23032194</v>
      </c>
      <c r="V41" s="40">
        <v>199251516</v>
      </c>
      <c r="W41" s="40">
        <v>184102011</v>
      </c>
      <c r="X41" s="40">
        <v>125178243</v>
      </c>
      <c r="Y41" s="40">
        <v>150662761</v>
      </c>
      <c r="Z41" s="40">
        <v>104063290</v>
      </c>
      <c r="AA41" s="40">
        <v>86678547</v>
      </c>
      <c r="AB41" s="40">
        <v>81055631</v>
      </c>
      <c r="AC41" s="40">
        <v>170997641</v>
      </c>
      <c r="AD41" s="40">
        <v>56091961</v>
      </c>
      <c r="AE41" s="40">
        <v>52243921</v>
      </c>
      <c r="AF41" s="40">
        <v>51016928</v>
      </c>
      <c r="AG41" s="40">
        <v>90583511</v>
      </c>
      <c r="AH41" s="40">
        <v>28521048</v>
      </c>
      <c r="AI41" s="40">
        <v>44847605</v>
      </c>
      <c r="AJ41" s="40">
        <v>5019959</v>
      </c>
      <c r="AK41" s="40">
        <v>3403421158</v>
      </c>
      <c r="AL41" s="40">
        <v>1203106723</v>
      </c>
      <c r="AM41" s="40">
        <v>428148599</v>
      </c>
      <c r="AN41" s="40">
        <v>642719412</v>
      </c>
      <c r="AO41" s="40">
        <v>114740934</v>
      </c>
      <c r="AP41" s="40">
        <v>8456630</v>
      </c>
      <c r="AQ41" s="40">
        <v>2242835</v>
      </c>
      <c r="AR41" s="40">
        <v>999815735</v>
      </c>
      <c r="AS41" s="40">
        <v>3399230868</v>
      </c>
      <c r="AT41" s="40">
        <v>6802652026</v>
      </c>
    </row>
    <row r="42" spans="1:46" ht="13.5" customHeight="1">
      <c r="A42" s="47" t="s">
        <v>92</v>
      </c>
      <c r="B42" s="1" t="s">
        <v>21</v>
      </c>
      <c r="C42" s="38">
        <v>7311007</v>
      </c>
      <c r="D42" s="38">
        <v>763130</v>
      </c>
      <c r="E42" s="38">
        <v>15128140</v>
      </c>
      <c r="F42" s="38">
        <v>6942083</v>
      </c>
      <c r="G42" s="38">
        <v>7714470</v>
      </c>
      <c r="H42" s="38">
        <v>1849380</v>
      </c>
      <c r="I42" s="109">
        <v>33024739</v>
      </c>
      <c r="J42" s="109">
        <v>200</v>
      </c>
      <c r="K42" s="38">
        <v>5591739</v>
      </c>
      <c r="L42" s="38">
        <v>12874780</v>
      </c>
      <c r="M42" s="38">
        <v>22094377</v>
      </c>
      <c r="N42" s="38">
        <v>38330264</v>
      </c>
      <c r="O42" s="38">
        <v>18684449</v>
      </c>
      <c r="P42" s="38">
        <v>28417504</v>
      </c>
      <c r="Q42" s="38">
        <v>24629085</v>
      </c>
      <c r="R42" s="38">
        <v>4430442</v>
      </c>
      <c r="S42" s="38">
        <v>30392667</v>
      </c>
      <c r="T42" s="38">
        <v>7229124</v>
      </c>
      <c r="U42" s="38">
        <v>9301644</v>
      </c>
      <c r="V42" s="38">
        <v>108270135</v>
      </c>
      <c r="W42" s="38">
        <v>105848898</v>
      </c>
      <c r="X42" s="38">
        <v>45972783</v>
      </c>
      <c r="Y42" s="38">
        <v>37217436</v>
      </c>
      <c r="Z42" s="38">
        <v>48448668</v>
      </c>
      <c r="AA42" s="38">
        <v>52077047</v>
      </c>
      <c r="AB42" s="38">
        <v>23572589</v>
      </c>
      <c r="AC42" s="38">
        <v>119508944</v>
      </c>
      <c r="AD42" s="38">
        <v>53019085</v>
      </c>
      <c r="AE42" s="38">
        <v>89879718</v>
      </c>
      <c r="AF42" s="38">
        <v>84723533</v>
      </c>
      <c r="AG42" s="38">
        <v>91542475</v>
      </c>
      <c r="AH42" s="38">
        <v>14325783</v>
      </c>
      <c r="AI42" s="38">
        <v>21260262</v>
      </c>
      <c r="AJ42" s="38">
        <v>0</v>
      </c>
      <c r="AK42" s="26">
        <v>1170376580</v>
      </c>
      <c r="AL42" s="29"/>
      <c r="AM42" s="29"/>
      <c r="AN42" s="29"/>
      <c r="AO42" s="29"/>
      <c r="AP42" s="29"/>
      <c r="AQ42" s="29"/>
      <c r="AR42" s="29"/>
      <c r="AS42" s="29"/>
      <c r="AT42" s="29"/>
    </row>
    <row r="43" spans="1:46" ht="13.5" customHeight="1">
      <c r="A43" s="47" t="s">
        <v>93</v>
      </c>
      <c r="B43" s="1" t="s">
        <v>22</v>
      </c>
      <c r="C43" s="38">
        <v>20790625</v>
      </c>
      <c r="D43" s="38">
        <v>907945</v>
      </c>
      <c r="E43" s="38">
        <v>6246706</v>
      </c>
      <c r="F43" s="38">
        <v>1230526</v>
      </c>
      <c r="G43" s="38">
        <v>5894202</v>
      </c>
      <c r="H43" s="38">
        <v>10160438</v>
      </c>
      <c r="I43" s="109">
        <v>26725352</v>
      </c>
      <c r="J43" s="109">
        <v>100</v>
      </c>
      <c r="K43" s="38">
        <v>2061144</v>
      </c>
      <c r="L43" s="38">
        <v>12662963</v>
      </c>
      <c r="M43" s="38">
        <v>15468441</v>
      </c>
      <c r="N43" s="38">
        <v>-2691522</v>
      </c>
      <c r="O43" s="38">
        <v>509104</v>
      </c>
      <c r="P43" s="38">
        <v>5170759</v>
      </c>
      <c r="Q43" s="38">
        <v>8332412</v>
      </c>
      <c r="R43" s="38">
        <v>1502834</v>
      </c>
      <c r="S43" s="38">
        <v>4585557</v>
      </c>
      <c r="T43" s="38">
        <v>-117531</v>
      </c>
      <c r="U43" s="38">
        <v>4067693</v>
      </c>
      <c r="V43" s="38">
        <v>6664903</v>
      </c>
      <c r="W43" s="38">
        <v>71028220</v>
      </c>
      <c r="X43" s="38">
        <v>16697450</v>
      </c>
      <c r="Y43" s="38">
        <v>17852378</v>
      </c>
      <c r="Z43" s="38">
        <v>24101295</v>
      </c>
      <c r="AA43" s="38">
        <v>68918948</v>
      </c>
      <c r="AB43" s="38">
        <v>64506524</v>
      </c>
      <c r="AC43" s="38">
        <v>32838525</v>
      </c>
      <c r="AD43" s="38">
        <v>24595921</v>
      </c>
      <c r="AE43" s="38">
        <v>0</v>
      </c>
      <c r="AF43" s="38">
        <v>5753379</v>
      </c>
      <c r="AG43" s="38">
        <v>22888082</v>
      </c>
      <c r="AH43" s="38">
        <v>8967271</v>
      </c>
      <c r="AI43" s="38">
        <v>7606932</v>
      </c>
      <c r="AJ43" s="38">
        <v>0</v>
      </c>
      <c r="AK43" s="26">
        <v>495927576</v>
      </c>
      <c r="AL43" s="30"/>
      <c r="AM43" s="30"/>
      <c r="AN43" s="30"/>
      <c r="AO43" s="30"/>
      <c r="AP43" s="30"/>
      <c r="AQ43" s="30"/>
      <c r="AR43" s="30"/>
      <c r="AS43" s="30"/>
      <c r="AT43" s="30"/>
    </row>
    <row r="44" spans="1:46" ht="13.5" customHeight="1">
      <c r="A44" s="47" t="s">
        <v>94</v>
      </c>
      <c r="B44" s="1" t="s">
        <v>23</v>
      </c>
      <c r="C44" s="38">
        <v>6826925</v>
      </c>
      <c r="D44" s="38">
        <v>492826</v>
      </c>
      <c r="E44" s="38">
        <v>7184340</v>
      </c>
      <c r="F44" s="38">
        <v>2607552</v>
      </c>
      <c r="G44" s="38">
        <v>1594645</v>
      </c>
      <c r="H44" s="38">
        <v>3179003</v>
      </c>
      <c r="I44" s="109">
        <v>26775668</v>
      </c>
      <c r="J44" s="109">
        <v>50</v>
      </c>
      <c r="K44" s="38">
        <v>4858806</v>
      </c>
      <c r="L44" s="38">
        <v>10685788</v>
      </c>
      <c r="M44" s="38">
        <v>5299685</v>
      </c>
      <c r="N44" s="38">
        <v>59980214</v>
      </c>
      <c r="O44" s="38">
        <v>16524948</v>
      </c>
      <c r="P44" s="38">
        <v>11389415</v>
      </c>
      <c r="Q44" s="38">
        <v>27105345</v>
      </c>
      <c r="R44" s="38">
        <v>906543</v>
      </c>
      <c r="S44" s="38">
        <v>10150938</v>
      </c>
      <c r="T44" s="38">
        <v>20286757</v>
      </c>
      <c r="U44" s="38">
        <v>5288608</v>
      </c>
      <c r="V44" s="38">
        <v>6766250</v>
      </c>
      <c r="W44" s="38">
        <v>18105570</v>
      </c>
      <c r="X44" s="38">
        <v>36332814</v>
      </c>
      <c r="Y44" s="38">
        <v>5371797</v>
      </c>
      <c r="Z44" s="38">
        <v>35261097</v>
      </c>
      <c r="AA44" s="38">
        <v>12984833</v>
      </c>
      <c r="AB44" s="38">
        <v>69279349</v>
      </c>
      <c r="AC44" s="38">
        <v>28647148</v>
      </c>
      <c r="AD44" s="38">
        <v>7189528</v>
      </c>
      <c r="AE44" s="38">
        <v>60428502</v>
      </c>
      <c r="AF44" s="38">
        <v>12635621</v>
      </c>
      <c r="AG44" s="38">
        <v>13918268</v>
      </c>
      <c r="AH44" s="38">
        <v>6439170</v>
      </c>
      <c r="AI44" s="38">
        <v>4683288</v>
      </c>
      <c r="AJ44" s="38">
        <v>0</v>
      </c>
      <c r="AK44" s="26">
        <v>539181291</v>
      </c>
      <c r="AL44" s="30"/>
      <c r="AM44" s="30"/>
      <c r="AN44" s="30"/>
      <c r="AO44" s="30"/>
      <c r="AP44" s="30"/>
      <c r="AQ44" s="30"/>
      <c r="AR44" s="30"/>
      <c r="AS44" s="30"/>
      <c r="AT44" s="30"/>
    </row>
    <row r="45" spans="1:46" ht="12.75" customHeight="1">
      <c r="A45" s="47" t="s">
        <v>95</v>
      </c>
      <c r="B45" s="1" t="s">
        <v>39</v>
      </c>
      <c r="C45" s="38">
        <v>-27016</v>
      </c>
      <c r="D45" s="38">
        <v>-6795</v>
      </c>
      <c r="E45" s="38">
        <v>14378726</v>
      </c>
      <c r="F45" s="38">
        <v>2081072</v>
      </c>
      <c r="G45" s="38">
        <v>1110431</v>
      </c>
      <c r="H45" s="38">
        <v>17800753</v>
      </c>
      <c r="I45" s="109">
        <v>4534298</v>
      </c>
      <c r="J45" s="109">
        <v>0</v>
      </c>
      <c r="K45" s="38">
        <v>911160</v>
      </c>
      <c r="L45" s="38">
        <v>1198062</v>
      </c>
      <c r="M45" s="38">
        <v>1425139</v>
      </c>
      <c r="N45" s="38">
        <v>2455564</v>
      </c>
      <c r="O45" s="38">
        <v>1946311</v>
      </c>
      <c r="P45" s="38">
        <v>1845434</v>
      </c>
      <c r="Q45" s="38">
        <v>7185378</v>
      </c>
      <c r="R45" s="38">
        <v>997653</v>
      </c>
      <c r="S45" s="38">
        <v>548886</v>
      </c>
      <c r="T45" s="38">
        <v>3631197</v>
      </c>
      <c r="U45" s="38">
        <v>108881</v>
      </c>
      <c r="V45" s="38">
        <v>21285495</v>
      </c>
      <c r="W45" s="38">
        <v>17403973</v>
      </c>
      <c r="X45" s="38">
        <v>-2966019</v>
      </c>
      <c r="Y45" s="38">
        <v>12631432</v>
      </c>
      <c r="Z45" s="38">
        <v>6428467</v>
      </c>
      <c r="AA45" s="38">
        <v>10283809</v>
      </c>
      <c r="AB45" s="38">
        <v>33396994</v>
      </c>
      <c r="AC45" s="38">
        <v>3703102</v>
      </c>
      <c r="AD45" s="38">
        <v>3414461</v>
      </c>
      <c r="AE45" s="38">
        <v>3508</v>
      </c>
      <c r="AF45" s="38">
        <v>209536</v>
      </c>
      <c r="AG45" s="38">
        <v>218867</v>
      </c>
      <c r="AH45" s="38">
        <v>6447347</v>
      </c>
      <c r="AI45" s="38">
        <v>3202028</v>
      </c>
      <c r="AJ45" s="38">
        <v>0</v>
      </c>
      <c r="AK45" s="26">
        <v>177788134</v>
      </c>
      <c r="AL45" s="30"/>
      <c r="AM45" s="30"/>
      <c r="AN45" s="30"/>
      <c r="AO45" s="30"/>
      <c r="AP45" s="30"/>
      <c r="AQ45" s="30"/>
      <c r="AR45" s="30"/>
      <c r="AS45" s="30"/>
      <c r="AT45" s="30"/>
    </row>
    <row r="46" spans="1:46" ht="13.5" customHeight="1">
      <c r="A46" s="45" t="s">
        <v>96</v>
      </c>
      <c r="B46" s="31" t="s">
        <v>24</v>
      </c>
      <c r="C46" s="28">
        <v>34901541</v>
      </c>
      <c r="D46" s="28">
        <v>2157106</v>
      </c>
      <c r="E46" s="28">
        <v>42937912</v>
      </c>
      <c r="F46" s="28">
        <v>12861233</v>
      </c>
      <c r="G46" s="28">
        <v>16313748</v>
      </c>
      <c r="H46" s="28">
        <v>32989574</v>
      </c>
      <c r="I46" s="125">
        <v>91060057</v>
      </c>
      <c r="J46" s="125">
        <v>350</v>
      </c>
      <c r="K46" s="28">
        <v>13422849</v>
      </c>
      <c r="L46" s="28">
        <v>37421593</v>
      </c>
      <c r="M46" s="28">
        <v>44287642</v>
      </c>
      <c r="N46" s="28">
        <v>98074520</v>
      </c>
      <c r="O46" s="28">
        <v>37664812</v>
      </c>
      <c r="P46" s="28">
        <v>46823112</v>
      </c>
      <c r="Q46" s="28">
        <v>67252220</v>
      </c>
      <c r="R46" s="28">
        <v>7837472</v>
      </c>
      <c r="S46" s="28">
        <v>45678048</v>
      </c>
      <c r="T46" s="28">
        <v>31029547</v>
      </c>
      <c r="U46" s="28">
        <v>18766826</v>
      </c>
      <c r="V46" s="28">
        <v>142986783</v>
      </c>
      <c r="W46" s="28">
        <v>212386661</v>
      </c>
      <c r="X46" s="28">
        <v>96037028</v>
      </c>
      <c r="Y46" s="28">
        <v>73073043</v>
      </c>
      <c r="Z46" s="28">
        <v>114239527</v>
      </c>
      <c r="AA46" s="28">
        <v>144264637</v>
      </c>
      <c r="AB46" s="28">
        <v>190755456</v>
      </c>
      <c r="AC46" s="28">
        <v>184697719</v>
      </c>
      <c r="AD46" s="28">
        <v>88218995</v>
      </c>
      <c r="AE46" s="28">
        <v>150311728</v>
      </c>
      <c r="AF46" s="28">
        <v>103322069</v>
      </c>
      <c r="AG46" s="28">
        <v>128567692</v>
      </c>
      <c r="AH46" s="28">
        <v>36179571</v>
      </c>
      <c r="AI46" s="28">
        <v>36752510</v>
      </c>
      <c r="AJ46" s="28">
        <v>0</v>
      </c>
      <c r="AK46" s="26">
        <v>2383273581</v>
      </c>
      <c r="AL46" s="62"/>
      <c r="AM46" s="30"/>
      <c r="AN46" s="30"/>
      <c r="AO46" s="30"/>
      <c r="AP46" s="30"/>
      <c r="AQ46" s="30"/>
      <c r="AR46" s="30"/>
      <c r="AS46" s="30"/>
      <c r="AT46" s="30"/>
    </row>
    <row r="47" spans="1:46" ht="13.5" customHeight="1">
      <c r="A47" s="45" t="s">
        <v>97</v>
      </c>
      <c r="B47" s="31" t="s">
        <v>41</v>
      </c>
      <c r="C47" s="28">
        <v>74068069</v>
      </c>
      <c r="D47" s="28">
        <v>5326597</v>
      </c>
      <c r="E47" s="28">
        <v>182394945</v>
      </c>
      <c r="F47" s="28">
        <v>70160146</v>
      </c>
      <c r="G47" s="28">
        <v>56014686</v>
      </c>
      <c r="H47" s="28">
        <v>176562966</v>
      </c>
      <c r="I47" s="125">
        <v>376625218</v>
      </c>
      <c r="J47" s="125">
        <v>1000.0000000008048</v>
      </c>
      <c r="K47" s="28">
        <v>50827524</v>
      </c>
      <c r="L47" s="28">
        <v>191899112</v>
      </c>
      <c r="M47" s="28">
        <v>136298810</v>
      </c>
      <c r="N47" s="28">
        <v>319811734</v>
      </c>
      <c r="O47" s="28">
        <v>172753507</v>
      </c>
      <c r="P47" s="28">
        <v>185483373</v>
      </c>
      <c r="Q47" s="28">
        <v>337135671</v>
      </c>
      <c r="R47" s="28">
        <v>28943269</v>
      </c>
      <c r="S47" s="28">
        <v>96802300</v>
      </c>
      <c r="T47" s="28">
        <v>151678800</v>
      </c>
      <c r="U47" s="28">
        <v>41799020</v>
      </c>
      <c r="V47" s="28">
        <v>342238299</v>
      </c>
      <c r="W47" s="28">
        <v>396488672</v>
      </c>
      <c r="X47" s="28">
        <v>221215271</v>
      </c>
      <c r="Y47" s="28">
        <v>223735804</v>
      </c>
      <c r="Z47" s="28">
        <v>218302817</v>
      </c>
      <c r="AA47" s="28">
        <v>230943184</v>
      </c>
      <c r="AB47" s="28">
        <v>271811087</v>
      </c>
      <c r="AC47" s="28">
        <v>355695360</v>
      </c>
      <c r="AD47" s="28">
        <v>144310956</v>
      </c>
      <c r="AE47" s="28">
        <v>202555649</v>
      </c>
      <c r="AF47" s="28">
        <v>154338997</v>
      </c>
      <c r="AG47" s="28">
        <v>219151203</v>
      </c>
      <c r="AH47" s="28">
        <v>64700619</v>
      </c>
      <c r="AI47" s="28">
        <v>81600115</v>
      </c>
      <c r="AJ47" s="28">
        <v>5019959</v>
      </c>
      <c r="AK47" s="41">
        <v>5786694739</v>
      </c>
      <c r="AL47" s="30"/>
      <c r="AM47" s="30"/>
      <c r="AN47" s="30"/>
      <c r="AO47" s="30"/>
      <c r="AP47" s="30"/>
      <c r="AQ47" s="30"/>
      <c r="AR47" s="30"/>
      <c r="AS47" s="30"/>
      <c r="AT47" s="30"/>
    </row>
    <row r="48" spans="1:46" ht="13.5" customHeight="1">
      <c r="A48" s="1" t="s">
        <v>115</v>
      </c>
      <c r="B48" s="1" t="s">
        <v>120</v>
      </c>
      <c r="C48" s="9">
        <v>26208380</v>
      </c>
      <c r="D48" s="9">
        <v>2042881.5999817885</v>
      </c>
      <c r="E48" s="9">
        <v>2065050.0000000002</v>
      </c>
      <c r="F48" s="9">
        <v>4524770</v>
      </c>
      <c r="G48" s="9">
        <v>2843750</v>
      </c>
      <c r="H48" s="9">
        <v>36281629.567042917</v>
      </c>
      <c r="I48" s="105">
        <v>84687500</v>
      </c>
      <c r="J48" s="126">
        <f>I48/I47*cases2!B6</f>
        <v>224.858814419591</v>
      </c>
      <c r="K48" s="9">
        <v>35157346.032126516</v>
      </c>
      <c r="L48" s="9">
        <v>102537669.99999999</v>
      </c>
      <c r="M48" s="9">
        <v>368275.38266030874</v>
      </c>
      <c r="N48" s="9">
        <v>3829179.9788428782</v>
      </c>
      <c r="O48" s="9">
        <v>123929.88878779384</v>
      </c>
      <c r="P48" s="9">
        <v>6926969.9999999991</v>
      </c>
      <c r="Q48" s="9">
        <v>2362190</v>
      </c>
      <c r="R48" s="9">
        <v>3595100.7620893372</v>
      </c>
      <c r="S48" s="9">
        <v>1648577.9554931689</v>
      </c>
      <c r="T48" s="9">
        <v>229332018.83297527</v>
      </c>
      <c r="U48" s="9">
        <v>18172000</v>
      </c>
      <c r="V48" s="9">
        <v>1813020</v>
      </c>
      <c r="W48" s="9">
        <v>1433144.6534375222</v>
      </c>
      <c r="X48" s="9">
        <v>101159784.67216459</v>
      </c>
      <c r="Y48" s="9">
        <v>2253064.9636808308</v>
      </c>
      <c r="Z48" s="9">
        <v>101446.17045806264</v>
      </c>
      <c r="AA48" s="9">
        <v>132046.07240723589</v>
      </c>
      <c r="AB48" s="9">
        <v>236199.082283881</v>
      </c>
      <c r="AC48" s="9">
        <v>1892727.0370475345</v>
      </c>
      <c r="AD48" s="9">
        <v>157565.48930203504</v>
      </c>
      <c r="AE48" s="9">
        <v>6015859.8701946959</v>
      </c>
      <c r="AF48" s="9">
        <v>2189527.7906128233</v>
      </c>
      <c r="AG48" s="9">
        <v>1803187.2434054068</v>
      </c>
      <c r="AH48" s="9">
        <v>373361.73616845929</v>
      </c>
      <c r="AI48" s="9">
        <v>422069.89100151369</v>
      </c>
      <c r="AJ48" s="9">
        <v>0</v>
      </c>
      <c r="AK48" s="9">
        <f>SUM(C48:AJ48)</f>
        <v>682690449.53097892</v>
      </c>
    </row>
  </sheetData>
  <mergeCells count="1">
    <mergeCell ref="A5:B6"/>
  </mergeCells>
  <phoneticPr fontId="19" type="noConversion"/>
  <conditionalFormatting sqref="C1:AJ1">
    <cfRule type="cellIs" dxfId="6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44A9-68CA-4368-8DD9-41655AF03DEB}">
  <sheetPr>
    <tabColor theme="5"/>
  </sheetPr>
  <dimension ref="A1:BA48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I47" sqref="I4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3" ht="13.5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L1" s="4"/>
      <c r="AO1" s="5"/>
      <c r="AR1" s="6"/>
    </row>
    <row r="2" spans="1:53" ht="13.5" customHeight="1"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53" ht="13.5" customHeight="1">
      <c r="B3" s="2"/>
    </row>
    <row r="4" spans="1:53" s="10" customFormat="1" ht="13.5" customHeight="1">
      <c r="A4" s="21"/>
      <c r="B4" s="15"/>
      <c r="AK4" s="1"/>
      <c r="AL4" s="14"/>
      <c r="AM4" s="14"/>
      <c r="AN4" s="14"/>
      <c r="AO4" s="14"/>
      <c r="AP4" s="14"/>
      <c r="AQ4" s="14"/>
      <c r="AR4" s="14"/>
      <c r="AS4" s="14"/>
    </row>
    <row r="5" spans="1:53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34" t="s">
        <v>50</v>
      </c>
      <c r="J5" s="34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  <c r="AL5" s="36" t="s">
        <v>99</v>
      </c>
      <c r="AM5" s="36" t="s">
        <v>100</v>
      </c>
      <c r="AN5" s="36" t="s">
        <v>101</v>
      </c>
      <c r="AO5" s="36" t="s">
        <v>102</v>
      </c>
      <c r="AP5" s="36" t="s">
        <v>103</v>
      </c>
      <c r="AQ5" s="36" t="s">
        <v>104</v>
      </c>
      <c r="AR5" s="36" t="s">
        <v>105</v>
      </c>
      <c r="AS5" s="35" t="s">
        <v>106</v>
      </c>
      <c r="AT5" s="43" t="s">
        <v>107</v>
      </c>
      <c r="AU5" s="37" t="s">
        <v>108</v>
      </c>
      <c r="AV5" s="34" t="s">
        <v>109</v>
      </c>
      <c r="AW5" s="34" t="s">
        <v>110</v>
      </c>
      <c r="AX5" s="34" t="s">
        <v>111</v>
      </c>
      <c r="AY5" s="34" t="s">
        <v>112</v>
      </c>
      <c r="AZ5" s="34" t="s">
        <v>113</v>
      </c>
      <c r="BA5" s="39" t="s">
        <v>114</v>
      </c>
    </row>
    <row r="6" spans="1:53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51" t="s">
        <v>8</v>
      </c>
      <c r="J6" s="51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  <c r="AL6" s="49" t="s">
        <v>38</v>
      </c>
      <c r="AM6" s="20" t="s">
        <v>27</v>
      </c>
      <c r="AN6" s="20" t="s">
        <v>28</v>
      </c>
      <c r="AO6" s="20" t="s">
        <v>29</v>
      </c>
      <c r="AP6" s="20" t="s">
        <v>30</v>
      </c>
      <c r="AQ6" s="20" t="s">
        <v>31</v>
      </c>
      <c r="AR6" s="20" t="s">
        <v>32</v>
      </c>
      <c r="AS6" s="23" t="s">
        <v>33</v>
      </c>
      <c r="AT6" s="24" t="s">
        <v>34</v>
      </c>
      <c r="AU6" s="22" t="s">
        <v>0</v>
      </c>
      <c r="AV6" s="20" t="s">
        <v>1</v>
      </c>
      <c r="AW6" s="20" t="s">
        <v>35</v>
      </c>
      <c r="AX6" s="49" t="s">
        <v>90</v>
      </c>
      <c r="AY6" s="20" t="s">
        <v>36</v>
      </c>
      <c r="AZ6" s="20" t="s">
        <v>37</v>
      </c>
      <c r="BA6" s="25" t="s">
        <v>40</v>
      </c>
    </row>
    <row r="7" spans="1:53" ht="13.5" customHeight="1">
      <c r="A7" s="44" t="s">
        <v>44</v>
      </c>
      <c r="B7" s="15" t="s">
        <v>2</v>
      </c>
      <c r="C7" s="38" ph="1">
        <v>4256311</v>
      </c>
      <c r="D7" s="38">
        <v>3473</v>
      </c>
      <c r="E7" s="38">
        <v>44787107</v>
      </c>
      <c r="F7" s="38">
        <v>264444</v>
      </c>
      <c r="G7" s="38">
        <v>661849</v>
      </c>
      <c r="H7" s="38">
        <v>4203</v>
      </c>
      <c r="I7" s="38">
        <v>1326557.8816719113</v>
      </c>
      <c r="J7" s="38">
        <v>1.1183280886092932</v>
      </c>
      <c r="K7" s="38">
        <v>3614</v>
      </c>
      <c r="L7" s="38">
        <v>6461</v>
      </c>
      <c r="M7" s="38">
        <v>7383</v>
      </c>
      <c r="N7" s="38">
        <v>7338</v>
      </c>
      <c r="O7" s="38">
        <v>2082</v>
      </c>
      <c r="P7" s="38">
        <v>6967</v>
      </c>
      <c r="Q7" s="38">
        <v>2432</v>
      </c>
      <c r="R7" s="38">
        <v>14838</v>
      </c>
      <c r="S7" s="38">
        <v>542287</v>
      </c>
      <c r="T7" s="38">
        <v>3751</v>
      </c>
      <c r="U7" s="38">
        <v>12739</v>
      </c>
      <c r="V7" s="38">
        <v>403188</v>
      </c>
      <c r="W7" s="38">
        <v>103863</v>
      </c>
      <c r="X7" s="38">
        <v>13100</v>
      </c>
      <c r="Y7" s="38">
        <v>13418941</v>
      </c>
      <c r="Z7" s="38">
        <v>14422</v>
      </c>
      <c r="AA7" s="38">
        <v>11833</v>
      </c>
      <c r="AB7" s="38">
        <v>7087</v>
      </c>
      <c r="AC7" s="38">
        <v>72958</v>
      </c>
      <c r="AD7" s="38">
        <v>20574</v>
      </c>
      <c r="AE7" s="38">
        <v>333297</v>
      </c>
      <c r="AF7" s="38">
        <v>716622</v>
      </c>
      <c r="AG7" s="38">
        <v>904970</v>
      </c>
      <c r="AH7" s="38">
        <v>72052</v>
      </c>
      <c r="AI7" s="38">
        <v>72609</v>
      </c>
      <c r="AJ7" s="38">
        <v>3405</v>
      </c>
      <c r="AK7" s="26">
        <v>68082759</v>
      </c>
      <c r="AL7" s="38">
        <v>20977330</v>
      </c>
      <c r="AM7" s="38">
        <v>0</v>
      </c>
      <c r="AN7" s="38">
        <v>1005548</v>
      </c>
      <c r="AO7" s="38">
        <v>708</v>
      </c>
      <c r="AP7" s="38">
        <v>-196797</v>
      </c>
      <c r="AQ7" s="38">
        <v>0</v>
      </c>
      <c r="AR7" s="38">
        <v>1148216</v>
      </c>
      <c r="AS7" s="26">
        <v>22935005</v>
      </c>
      <c r="AT7" s="27">
        <v>91017764</v>
      </c>
      <c r="AU7" s="42">
        <v>65855570.757684648</v>
      </c>
      <c r="AV7" s="38"/>
      <c r="AW7" s="38"/>
      <c r="AX7" s="38">
        <v>13697830.127687093</v>
      </c>
      <c r="AY7" s="38">
        <v>0</v>
      </c>
      <c r="AZ7" s="38">
        <v>0</v>
      </c>
      <c r="BA7" s="27">
        <v>79553400.885371745</v>
      </c>
    </row>
    <row r="8" spans="1:53" ht="13.5" customHeight="1">
      <c r="A8" s="44" t="s">
        <v>45</v>
      </c>
      <c r="B8" s="15" t="s">
        <v>3</v>
      </c>
      <c r="C8" s="38">
        <v>2055</v>
      </c>
      <c r="D8" s="38">
        <v>2999</v>
      </c>
      <c r="E8" s="38">
        <v>48702</v>
      </c>
      <c r="F8" s="38">
        <v>3592</v>
      </c>
      <c r="G8" s="38">
        <v>35023</v>
      </c>
      <c r="H8" s="38">
        <v>108067377</v>
      </c>
      <c r="I8" s="38">
        <v>8679206.2488911487</v>
      </c>
      <c r="J8" s="38">
        <v>0.75110885132401117</v>
      </c>
      <c r="K8" s="38">
        <v>5208178</v>
      </c>
      <c r="L8" s="38">
        <v>33232955</v>
      </c>
      <c r="M8" s="38">
        <v>40482</v>
      </c>
      <c r="N8" s="38">
        <v>37583</v>
      </c>
      <c r="O8" s="38">
        <v>8789</v>
      </c>
      <c r="P8" s="38">
        <v>16354</v>
      </c>
      <c r="Q8" s="38">
        <v>5802</v>
      </c>
      <c r="R8" s="38">
        <v>3785</v>
      </c>
      <c r="S8" s="38">
        <v>76904</v>
      </c>
      <c r="T8" s="38">
        <v>68593275</v>
      </c>
      <c r="U8" s="38">
        <v>53587</v>
      </c>
      <c r="V8" s="38">
        <v>278992</v>
      </c>
      <c r="W8" s="38">
        <v>0</v>
      </c>
      <c r="X8" s="38">
        <v>0</v>
      </c>
      <c r="Y8" s="38">
        <v>15310</v>
      </c>
      <c r="Z8" s="38">
        <v>0</v>
      </c>
      <c r="AA8" s="38">
        <v>0</v>
      </c>
      <c r="AB8" s="38">
        <v>141</v>
      </c>
      <c r="AC8" s="38">
        <v>17244</v>
      </c>
      <c r="AD8" s="38">
        <v>13414</v>
      </c>
      <c r="AE8" s="38">
        <v>16766</v>
      </c>
      <c r="AF8" s="38">
        <v>1073</v>
      </c>
      <c r="AG8" s="38">
        <v>16722</v>
      </c>
      <c r="AH8" s="38">
        <v>2420</v>
      </c>
      <c r="AI8" s="38">
        <v>2421</v>
      </c>
      <c r="AJ8" s="38">
        <v>34</v>
      </c>
      <c r="AK8" s="26">
        <v>224481186</v>
      </c>
      <c r="AL8" s="38">
        <v>20312</v>
      </c>
      <c r="AM8" s="38">
        <v>0</v>
      </c>
      <c r="AN8" s="38">
        <v>0</v>
      </c>
      <c r="AO8" s="38">
        <v>0</v>
      </c>
      <c r="AP8" s="38">
        <v>-1208060</v>
      </c>
      <c r="AQ8" s="38">
        <v>0</v>
      </c>
      <c r="AR8" s="38">
        <v>164539</v>
      </c>
      <c r="AS8" s="26">
        <v>-1023209</v>
      </c>
      <c r="AT8" s="27">
        <v>223457977</v>
      </c>
      <c r="AU8" s="42">
        <v>4054042.8500571693</v>
      </c>
      <c r="AV8" s="38"/>
      <c r="AW8" s="38"/>
      <c r="AX8" s="38">
        <v>113960284.20667678</v>
      </c>
      <c r="AY8" s="38">
        <v>0</v>
      </c>
      <c r="AZ8" s="38">
        <v>0</v>
      </c>
      <c r="BA8" s="27">
        <v>118014327.05673395</v>
      </c>
    </row>
    <row r="9" spans="1:53" ht="13.5" customHeight="1">
      <c r="A9" s="44" t="s">
        <v>46</v>
      </c>
      <c r="B9" s="15" t="s">
        <v>4</v>
      </c>
      <c r="C9" s="38">
        <v>13490896</v>
      </c>
      <c r="D9" s="38">
        <v>16188</v>
      </c>
      <c r="E9" s="38">
        <v>37267582</v>
      </c>
      <c r="F9" s="38">
        <v>1267831</v>
      </c>
      <c r="G9" s="38">
        <v>87762</v>
      </c>
      <c r="H9" s="38">
        <v>29747</v>
      </c>
      <c r="I9" s="38">
        <v>1948951.2856227099</v>
      </c>
      <c r="J9" s="38">
        <v>2.7143772901102938</v>
      </c>
      <c r="K9" s="38">
        <v>32354</v>
      </c>
      <c r="L9" s="38">
        <v>78230</v>
      </c>
      <c r="M9" s="38">
        <v>106035</v>
      </c>
      <c r="N9" s="38">
        <v>28458</v>
      </c>
      <c r="O9" s="38">
        <v>23722</v>
      </c>
      <c r="P9" s="38">
        <v>80841</v>
      </c>
      <c r="Q9" s="38">
        <v>-15144</v>
      </c>
      <c r="R9" s="38">
        <v>10976</v>
      </c>
      <c r="S9" s="38">
        <v>642150</v>
      </c>
      <c r="T9" s="38">
        <v>1667262</v>
      </c>
      <c r="U9" s="38">
        <v>75594</v>
      </c>
      <c r="V9" s="38">
        <v>29879</v>
      </c>
      <c r="W9" s="38">
        <v>2137267</v>
      </c>
      <c r="X9" s="38">
        <v>237559</v>
      </c>
      <c r="Y9" s="38">
        <v>62634265</v>
      </c>
      <c r="Z9" s="38">
        <v>321736</v>
      </c>
      <c r="AA9" s="38">
        <v>166231</v>
      </c>
      <c r="AB9" s="38">
        <v>20690</v>
      </c>
      <c r="AC9" s="38">
        <v>1680284</v>
      </c>
      <c r="AD9" s="38">
        <v>730059</v>
      </c>
      <c r="AE9" s="38">
        <v>1178818</v>
      </c>
      <c r="AF9" s="38">
        <v>3190985</v>
      </c>
      <c r="AG9" s="38">
        <v>3326884</v>
      </c>
      <c r="AH9" s="38">
        <v>2766615</v>
      </c>
      <c r="AI9" s="38">
        <v>1099495</v>
      </c>
      <c r="AJ9" s="38">
        <v>54767</v>
      </c>
      <c r="AK9" s="26">
        <v>136414972</v>
      </c>
      <c r="AL9" s="38">
        <v>79996863</v>
      </c>
      <c r="AM9" s="38">
        <v>0</v>
      </c>
      <c r="AN9" s="38">
        <v>0</v>
      </c>
      <c r="AO9" s="38">
        <v>0</v>
      </c>
      <c r="AP9" s="38">
        <v>-312055</v>
      </c>
      <c r="AQ9" s="38">
        <v>0</v>
      </c>
      <c r="AR9" s="38">
        <v>13216832</v>
      </c>
      <c r="AS9" s="26">
        <v>92901640</v>
      </c>
      <c r="AT9" s="27">
        <v>229316612</v>
      </c>
      <c r="AU9" s="42">
        <v>152039313.94926831</v>
      </c>
      <c r="AV9" s="38"/>
      <c r="AW9" s="38"/>
      <c r="AX9" s="38">
        <v>32372722.970001116</v>
      </c>
      <c r="AY9" s="38">
        <v>0</v>
      </c>
      <c r="AZ9" s="38">
        <v>0</v>
      </c>
      <c r="BA9" s="27">
        <v>184412036.91926944</v>
      </c>
    </row>
    <row r="10" spans="1:53" ht="13.5" customHeight="1">
      <c r="A10" s="44" t="s">
        <v>47</v>
      </c>
      <c r="B10" s="15" t="s">
        <v>5</v>
      </c>
      <c r="C10" s="38">
        <v>690669</v>
      </c>
      <c r="D10" s="38">
        <v>18761</v>
      </c>
      <c r="E10" s="38">
        <v>152583</v>
      </c>
      <c r="F10" s="38">
        <v>21941986</v>
      </c>
      <c r="G10" s="38">
        <v>610886</v>
      </c>
      <c r="H10" s="38">
        <v>100196</v>
      </c>
      <c r="I10" s="38">
        <v>1674117.8461301655</v>
      </c>
      <c r="J10" s="38">
        <v>2.1538698344229443</v>
      </c>
      <c r="K10" s="38">
        <v>167311</v>
      </c>
      <c r="L10" s="38">
        <v>181532</v>
      </c>
      <c r="M10" s="38">
        <v>398657</v>
      </c>
      <c r="N10" s="38">
        <v>396591</v>
      </c>
      <c r="O10" s="38">
        <v>175855</v>
      </c>
      <c r="P10" s="38">
        <v>148702</v>
      </c>
      <c r="Q10" s="38">
        <v>1234584</v>
      </c>
      <c r="R10" s="38">
        <v>1704538</v>
      </c>
      <c r="S10" s="38">
        <v>2681541</v>
      </c>
      <c r="T10" s="38">
        <v>46471</v>
      </c>
      <c r="U10" s="38">
        <v>260471</v>
      </c>
      <c r="V10" s="38">
        <v>183767</v>
      </c>
      <c r="W10" s="38">
        <v>1793848</v>
      </c>
      <c r="X10" s="38">
        <v>1945331</v>
      </c>
      <c r="Y10" s="38">
        <v>1580633</v>
      </c>
      <c r="Z10" s="38">
        <v>250655</v>
      </c>
      <c r="AA10" s="38">
        <v>107312</v>
      </c>
      <c r="AB10" s="38">
        <v>175614</v>
      </c>
      <c r="AC10" s="38">
        <v>554339</v>
      </c>
      <c r="AD10" s="38">
        <v>1178436</v>
      </c>
      <c r="AE10" s="38">
        <v>689348</v>
      </c>
      <c r="AF10" s="38">
        <v>212655</v>
      </c>
      <c r="AG10" s="38">
        <v>919104</v>
      </c>
      <c r="AH10" s="38">
        <v>556457</v>
      </c>
      <c r="AI10" s="38">
        <v>863694</v>
      </c>
      <c r="AJ10" s="38">
        <v>17447</v>
      </c>
      <c r="AK10" s="26">
        <v>43614094</v>
      </c>
      <c r="AL10" s="38">
        <v>44692848</v>
      </c>
      <c r="AM10" s="38">
        <v>0</v>
      </c>
      <c r="AN10" s="38">
        <v>99316</v>
      </c>
      <c r="AO10" s="38">
        <v>49995</v>
      </c>
      <c r="AP10" s="38">
        <v>238347</v>
      </c>
      <c r="AQ10" s="38">
        <v>0</v>
      </c>
      <c r="AR10" s="38">
        <v>20177963</v>
      </c>
      <c r="AS10" s="26">
        <v>65258469</v>
      </c>
      <c r="AT10" s="27">
        <v>108872563</v>
      </c>
      <c r="AU10" s="42">
        <v>60721462.540533498</v>
      </c>
      <c r="AV10" s="38"/>
      <c r="AW10" s="38"/>
      <c r="AX10" s="38">
        <v>34648150.106313303</v>
      </c>
      <c r="AY10" s="38">
        <v>0</v>
      </c>
      <c r="AZ10" s="38">
        <v>0</v>
      </c>
      <c r="BA10" s="27">
        <v>95369612.646846801</v>
      </c>
    </row>
    <row r="11" spans="1:53" ht="13.5" customHeight="1">
      <c r="A11" s="44" t="s">
        <v>48</v>
      </c>
      <c r="B11" s="15" t="s">
        <v>6</v>
      </c>
      <c r="C11" s="38">
        <v>866017</v>
      </c>
      <c r="D11" s="38">
        <v>11121</v>
      </c>
      <c r="E11" s="38">
        <v>3715108</v>
      </c>
      <c r="F11" s="38">
        <v>415547</v>
      </c>
      <c r="G11" s="38">
        <v>17244503</v>
      </c>
      <c r="H11" s="38">
        <v>134210</v>
      </c>
      <c r="I11" s="38">
        <v>1997371.26708342</v>
      </c>
      <c r="J11" s="38">
        <v>3.7329165799523025</v>
      </c>
      <c r="K11" s="38">
        <v>426375</v>
      </c>
      <c r="L11" s="38">
        <v>243459</v>
      </c>
      <c r="M11" s="38">
        <v>1061021</v>
      </c>
      <c r="N11" s="38">
        <v>295987</v>
      </c>
      <c r="O11" s="38">
        <v>571350</v>
      </c>
      <c r="P11" s="38">
        <v>353312</v>
      </c>
      <c r="Q11" s="38">
        <v>120280</v>
      </c>
      <c r="R11" s="38">
        <v>1901882</v>
      </c>
      <c r="S11" s="38">
        <v>408384</v>
      </c>
      <c r="T11" s="38">
        <v>792752</v>
      </c>
      <c r="U11" s="38">
        <v>-6870</v>
      </c>
      <c r="V11" s="38">
        <v>6049727</v>
      </c>
      <c r="W11" s="38">
        <v>4278205</v>
      </c>
      <c r="X11" s="38">
        <v>1476571</v>
      </c>
      <c r="Y11" s="38">
        <v>2137353</v>
      </c>
      <c r="Z11" s="38">
        <v>2006707</v>
      </c>
      <c r="AA11" s="38">
        <v>1592341</v>
      </c>
      <c r="AB11" s="38">
        <v>227894</v>
      </c>
      <c r="AC11" s="38">
        <v>5069685</v>
      </c>
      <c r="AD11" s="38">
        <v>631911</v>
      </c>
      <c r="AE11" s="38">
        <v>913133</v>
      </c>
      <c r="AF11" s="38">
        <v>960333</v>
      </c>
      <c r="AG11" s="38">
        <v>1291250</v>
      </c>
      <c r="AH11" s="38">
        <v>308585</v>
      </c>
      <c r="AI11" s="38">
        <v>831503</v>
      </c>
      <c r="AJ11" s="38">
        <v>9881</v>
      </c>
      <c r="AK11" s="26">
        <v>58336892</v>
      </c>
      <c r="AL11" s="38">
        <v>1990283</v>
      </c>
      <c r="AM11" s="38">
        <v>0</v>
      </c>
      <c r="AN11" s="38">
        <v>0</v>
      </c>
      <c r="AO11" s="38">
        <v>0</v>
      </c>
      <c r="AP11" s="38">
        <v>247498</v>
      </c>
      <c r="AQ11" s="38">
        <v>0</v>
      </c>
      <c r="AR11" s="38">
        <v>4630328</v>
      </c>
      <c r="AS11" s="26">
        <v>6868109</v>
      </c>
      <c r="AT11" s="27">
        <v>65205001</v>
      </c>
      <c r="AU11" s="42">
        <v>45198801.38007082</v>
      </c>
      <c r="AV11" s="38"/>
      <c r="AW11" s="38"/>
      <c r="AX11" s="38">
        <v>7178251.1911270786</v>
      </c>
      <c r="AY11" s="38">
        <v>0</v>
      </c>
      <c r="AZ11" s="38">
        <v>0</v>
      </c>
      <c r="BA11" s="27">
        <v>52377052.571197897</v>
      </c>
    </row>
    <row r="12" spans="1:53" ht="13.5" customHeight="1">
      <c r="A12" s="44" t="s">
        <v>49</v>
      </c>
      <c r="B12" s="15" t="s">
        <v>7</v>
      </c>
      <c r="C12" s="38">
        <v>1553720</v>
      </c>
      <c r="D12" s="38">
        <v>127562</v>
      </c>
      <c r="E12" s="38">
        <v>368746</v>
      </c>
      <c r="F12" s="38">
        <v>182073</v>
      </c>
      <c r="G12" s="38">
        <v>306192</v>
      </c>
      <c r="H12" s="38">
        <v>8485744</v>
      </c>
      <c r="I12" s="38">
        <v>43895209.669638716</v>
      </c>
      <c r="J12" s="38">
        <v>37.330361284708523</v>
      </c>
      <c r="K12" s="38">
        <v>2409467</v>
      </c>
      <c r="L12" s="38">
        <v>721361</v>
      </c>
      <c r="M12" s="38">
        <v>527953</v>
      </c>
      <c r="N12" s="38">
        <v>108255</v>
      </c>
      <c r="O12" s="38">
        <v>512348</v>
      </c>
      <c r="P12" s="38">
        <v>337756</v>
      </c>
      <c r="Q12" s="38">
        <v>472866</v>
      </c>
      <c r="R12" s="38">
        <v>45874</v>
      </c>
      <c r="S12" s="38">
        <v>1013019</v>
      </c>
      <c r="T12" s="38">
        <v>4111860</v>
      </c>
      <c r="U12" s="38">
        <v>690962</v>
      </c>
      <c r="V12" s="38">
        <v>4687554</v>
      </c>
      <c r="W12" s="38">
        <v>9503880</v>
      </c>
      <c r="X12" s="38">
        <v>24628899</v>
      </c>
      <c r="Y12" s="38">
        <v>3477744</v>
      </c>
      <c r="Z12" s="38">
        <v>404311</v>
      </c>
      <c r="AA12" s="38">
        <v>146259</v>
      </c>
      <c r="AB12" s="38">
        <v>918026</v>
      </c>
      <c r="AC12" s="38">
        <v>4380042</v>
      </c>
      <c r="AD12" s="38">
        <v>918546</v>
      </c>
      <c r="AE12" s="38">
        <v>3355174</v>
      </c>
      <c r="AF12" s="38">
        <v>2599025</v>
      </c>
      <c r="AG12" s="38">
        <v>1564184</v>
      </c>
      <c r="AH12" s="38">
        <v>353775</v>
      </c>
      <c r="AI12" s="38">
        <v>1093548</v>
      </c>
      <c r="AJ12" s="38">
        <v>22523</v>
      </c>
      <c r="AK12" s="26">
        <v>123924495</v>
      </c>
      <c r="AL12" s="38">
        <v>20010215</v>
      </c>
      <c r="AM12" s="38">
        <v>0</v>
      </c>
      <c r="AN12" s="38">
        <v>0</v>
      </c>
      <c r="AO12" s="38">
        <v>0</v>
      </c>
      <c r="AP12" s="38">
        <v>685143</v>
      </c>
      <c r="AQ12" s="38">
        <v>0</v>
      </c>
      <c r="AR12" s="38">
        <v>77066088</v>
      </c>
      <c r="AS12" s="26">
        <v>97761446</v>
      </c>
      <c r="AT12" s="27">
        <v>221685941</v>
      </c>
      <c r="AU12" s="42">
        <v>84333723.224082932</v>
      </c>
      <c r="AV12" s="38"/>
      <c r="AW12" s="38"/>
      <c r="AX12" s="38">
        <v>24723563.092433281</v>
      </c>
      <c r="AY12" s="38">
        <v>0</v>
      </c>
      <c r="AZ12" s="38">
        <v>0</v>
      </c>
      <c r="BA12" s="27">
        <v>109057286.31651622</v>
      </c>
    </row>
    <row r="13" spans="1:53" ht="13.5" customHeight="1">
      <c r="A13" s="44" t="s">
        <v>50</v>
      </c>
      <c r="B13" s="15" t="s">
        <v>8</v>
      </c>
      <c r="C13" s="38">
        <v>5335744.9552408801</v>
      </c>
      <c r="D13" s="38">
        <v>219297.54606365331</v>
      </c>
      <c r="E13" s="38">
        <v>4720436.2289030813</v>
      </c>
      <c r="F13" s="38">
        <v>6819714.8834879128</v>
      </c>
      <c r="G13" s="38">
        <v>3803162.1276204269</v>
      </c>
      <c r="H13" s="38">
        <v>3537787.6769339545</v>
      </c>
      <c r="I13" s="38">
        <v>129362417.38839962</v>
      </c>
      <c r="J13" s="38">
        <v>151.83672953953794</v>
      </c>
      <c r="K13" s="38">
        <v>2543479.7351079867</v>
      </c>
      <c r="L13" s="38">
        <v>3102888.5771561051</v>
      </c>
      <c r="M13" s="38">
        <v>9009071.3516156022</v>
      </c>
      <c r="N13" s="38">
        <v>20188539.210605185</v>
      </c>
      <c r="O13" s="38">
        <v>17404813.972794902</v>
      </c>
      <c r="P13" s="38">
        <v>5570478.4693527538</v>
      </c>
      <c r="Q13" s="38">
        <v>21793895.887586948</v>
      </c>
      <c r="R13" s="38">
        <v>2998174.793909065</v>
      </c>
      <c r="S13" s="38">
        <v>1983056.8951587994</v>
      </c>
      <c r="T13" s="38">
        <v>2417165.996571911</v>
      </c>
      <c r="U13" s="38">
        <v>2164828.5188994738</v>
      </c>
      <c r="V13" s="38">
        <v>12222182.700615382</v>
      </c>
      <c r="W13" s="38">
        <v>5288968.0520670274</v>
      </c>
      <c r="X13" s="38">
        <v>1560670.7694796398</v>
      </c>
      <c r="Y13" s="38">
        <v>4858334.943458763</v>
      </c>
      <c r="Z13" s="38">
        <v>812352.31846616487</v>
      </c>
      <c r="AA13" s="38">
        <v>121601.7482896897</v>
      </c>
      <c r="AB13" s="38">
        <v>277567.42544754682</v>
      </c>
      <c r="AC13" s="38">
        <v>10278184.724606326</v>
      </c>
      <c r="AD13" s="38">
        <v>3992179.7363622286</v>
      </c>
      <c r="AE13" s="38">
        <v>1614771.6574931636</v>
      </c>
      <c r="AF13" s="38">
        <v>1270283.3705688785</v>
      </c>
      <c r="AG13" s="38">
        <v>32946362.802467305</v>
      </c>
      <c r="AH13" s="38">
        <v>758168.4306244473</v>
      </c>
      <c r="AI13" s="38">
        <v>3728698.281757337</v>
      </c>
      <c r="AJ13" s="38">
        <v>31955.933852611994</v>
      </c>
      <c r="AK13" s="26">
        <v>322737388.94769424</v>
      </c>
      <c r="AL13" s="38">
        <v>16391826.069635639</v>
      </c>
      <c r="AM13" s="38">
        <v>0</v>
      </c>
      <c r="AN13" s="38">
        <v>0</v>
      </c>
      <c r="AO13" s="38">
        <v>0</v>
      </c>
      <c r="AP13" s="38">
        <v>2035866.7858446313</v>
      </c>
      <c r="AQ13" s="38">
        <v>0</v>
      </c>
      <c r="AR13" s="38">
        <v>141936894.19682541</v>
      </c>
      <c r="AS13" s="26">
        <v>160364587.0523057</v>
      </c>
      <c r="AT13" s="27">
        <v>483101975.99999994</v>
      </c>
      <c r="AU13" s="42">
        <v>294065811.02158403</v>
      </c>
      <c r="AV13" s="38"/>
      <c r="AW13" s="38"/>
      <c r="AX13" s="38">
        <v>86442870.782576084</v>
      </c>
      <c r="AY13" s="38">
        <v>0</v>
      </c>
      <c r="AZ13" s="38">
        <v>0</v>
      </c>
      <c r="BA13" s="27">
        <v>380508681.80416012</v>
      </c>
    </row>
    <row r="14" spans="1:53" ht="13.5" customHeight="1">
      <c r="A14" s="44"/>
      <c r="B14" s="15" t="s">
        <v>144</v>
      </c>
      <c r="C14" s="38">
        <v>11.044759119844462</v>
      </c>
      <c r="D14" s="38">
        <v>0.45393634668895105</v>
      </c>
      <c r="E14" s="38">
        <v>9.771096918268622</v>
      </c>
      <c r="F14" s="38">
        <v>14.11651208706278</v>
      </c>
      <c r="G14" s="38">
        <v>7.8723795731699235</v>
      </c>
      <c r="H14" s="38">
        <v>7.323066045447006</v>
      </c>
      <c r="I14" s="38">
        <v>267.77455654290191</v>
      </c>
      <c r="J14" s="38">
        <v>3.1429540155458453E-4</v>
      </c>
      <c r="K14" s="38">
        <v>5.2648920134162038</v>
      </c>
      <c r="L14" s="38">
        <v>6.4228438948800841</v>
      </c>
      <c r="M14" s="38">
        <v>18.64838439744987</v>
      </c>
      <c r="N14" s="38">
        <v>41.789394814243494</v>
      </c>
      <c r="O14" s="38">
        <v>36.027205098401218</v>
      </c>
      <c r="P14" s="38">
        <v>11.530647246519964</v>
      </c>
      <c r="Q14" s="38">
        <v>45.112413052077741</v>
      </c>
      <c r="R14" s="38">
        <v>6.2060909349479978</v>
      </c>
      <c r="S14" s="38">
        <v>4.1048412005642456</v>
      </c>
      <c r="T14" s="38">
        <v>5.0034280890043616</v>
      </c>
      <c r="U14" s="38">
        <v>4.4811005262778592</v>
      </c>
      <c r="V14" s="38">
        <v>25.299384618156441</v>
      </c>
      <c r="W14" s="38">
        <v>10.947932972369021</v>
      </c>
      <c r="X14" s="38">
        <v>3.230520360114693</v>
      </c>
      <c r="Y14" s="38">
        <v>10.056541237286853</v>
      </c>
      <c r="Z14" s="38">
        <v>1.6815338351382874</v>
      </c>
      <c r="AA14" s="38">
        <v>0.25171031030866597</v>
      </c>
      <c r="AB14" s="38">
        <v>0.57455245318132753</v>
      </c>
      <c r="AC14" s="38">
        <v>21.275393675074358</v>
      </c>
      <c r="AD14" s="38">
        <v>8.2636377715048486</v>
      </c>
      <c r="AE14" s="38">
        <v>3.3425068364720651</v>
      </c>
      <c r="AF14" s="38">
        <v>2.6294311215338073</v>
      </c>
      <c r="AG14" s="38">
        <v>68.197532693319616</v>
      </c>
      <c r="AH14" s="38">
        <v>1.569375552759998</v>
      </c>
      <c r="AI14" s="38">
        <v>7.7182426630300869</v>
      </c>
      <c r="AJ14" s="38">
        <v>6.6147388005326629E-2</v>
      </c>
      <c r="AK14" s="26">
        <v>668.05230568482386</v>
      </c>
      <c r="AL14" s="38">
        <v>33.930364361903663</v>
      </c>
      <c r="AM14" s="38">
        <v>0</v>
      </c>
      <c r="AN14" s="38">
        <v>0</v>
      </c>
      <c r="AO14" s="38">
        <v>0</v>
      </c>
      <c r="AP14" s="38">
        <v>4.2141553688131284</v>
      </c>
      <c r="AQ14" s="38">
        <v>0</v>
      </c>
      <c r="AR14" s="38">
        <v>293.80317458445961</v>
      </c>
      <c r="AS14" s="26">
        <v>331.94769431517642</v>
      </c>
      <c r="AT14" s="27">
        <v>1000.0000000000002</v>
      </c>
      <c r="AU14" s="42"/>
      <c r="AV14" s="38"/>
      <c r="AW14" s="38"/>
      <c r="AX14" s="38"/>
      <c r="AY14" s="38"/>
      <c r="AZ14" s="38"/>
      <c r="BA14" s="27"/>
    </row>
    <row r="15" spans="1:53" ht="13.5" customHeight="1">
      <c r="A15" s="44" t="s">
        <v>51</v>
      </c>
      <c r="B15" s="15" t="s">
        <v>9</v>
      </c>
      <c r="C15" s="38">
        <v>36617</v>
      </c>
      <c r="D15" s="38">
        <v>8918</v>
      </c>
      <c r="E15" s="38">
        <v>905256</v>
      </c>
      <c r="F15" s="38">
        <v>41584</v>
      </c>
      <c r="G15" s="38">
        <v>59557</v>
      </c>
      <c r="H15" s="38">
        <v>153911</v>
      </c>
      <c r="I15" s="38">
        <v>1621302.9173601517</v>
      </c>
      <c r="J15" s="38">
        <v>2.0826398484205293</v>
      </c>
      <c r="K15" s="38">
        <v>7622593</v>
      </c>
      <c r="L15" s="38">
        <v>3265699</v>
      </c>
      <c r="M15" s="38">
        <v>612991</v>
      </c>
      <c r="N15" s="38">
        <v>1987167</v>
      </c>
      <c r="O15" s="38">
        <v>1806637</v>
      </c>
      <c r="P15" s="38">
        <v>511290</v>
      </c>
      <c r="Q15" s="38">
        <v>2300485</v>
      </c>
      <c r="R15" s="38">
        <v>257029</v>
      </c>
      <c r="S15" s="38">
        <v>203556</v>
      </c>
      <c r="T15" s="38">
        <v>-152005</v>
      </c>
      <c r="U15" s="38">
        <v>187593</v>
      </c>
      <c r="V15" s="38">
        <v>29763706</v>
      </c>
      <c r="W15" s="38">
        <v>119481</v>
      </c>
      <c r="X15" s="38">
        <v>76745</v>
      </c>
      <c r="Y15" s="38">
        <v>742147</v>
      </c>
      <c r="Z15" s="38">
        <v>13661</v>
      </c>
      <c r="AA15" s="38">
        <v>3896</v>
      </c>
      <c r="AB15" s="38">
        <v>84202</v>
      </c>
      <c r="AC15" s="38">
        <v>340999</v>
      </c>
      <c r="AD15" s="38">
        <v>226159</v>
      </c>
      <c r="AE15" s="38">
        <v>331107</v>
      </c>
      <c r="AF15" s="38">
        <v>142765</v>
      </c>
      <c r="AG15" s="38">
        <v>71373</v>
      </c>
      <c r="AH15" s="38">
        <v>141732</v>
      </c>
      <c r="AI15" s="38">
        <v>56146</v>
      </c>
      <c r="AJ15" s="38">
        <v>4568</v>
      </c>
      <c r="AK15" s="26">
        <v>53548870</v>
      </c>
      <c r="AL15" s="38">
        <v>181273</v>
      </c>
      <c r="AM15" s="38">
        <v>0</v>
      </c>
      <c r="AN15" s="38">
        <v>0</v>
      </c>
      <c r="AO15" s="38">
        <v>0</v>
      </c>
      <c r="AP15" s="38">
        <v>187387</v>
      </c>
      <c r="AQ15" s="38">
        <v>0</v>
      </c>
      <c r="AR15" s="38">
        <v>4781328</v>
      </c>
      <c r="AS15" s="26">
        <v>5149988</v>
      </c>
      <c r="AT15" s="27">
        <v>58698858</v>
      </c>
      <c r="AU15" s="42">
        <v>39826172.150729999</v>
      </c>
      <c r="AV15" s="38"/>
      <c r="AW15" s="38"/>
      <c r="AX15" s="38">
        <v>6181352.2852206705</v>
      </c>
      <c r="AY15" s="38">
        <v>0</v>
      </c>
      <c r="AZ15" s="38">
        <v>0</v>
      </c>
      <c r="BA15" s="27">
        <v>46007524.435950667</v>
      </c>
    </row>
    <row r="16" spans="1:53" ht="13.5" customHeight="1">
      <c r="A16" s="44" t="s">
        <v>52</v>
      </c>
      <c r="B16" s="15" t="s">
        <v>10</v>
      </c>
      <c r="C16" s="38">
        <v>91111</v>
      </c>
      <c r="D16" s="38">
        <v>8196</v>
      </c>
      <c r="E16" s="38">
        <v>26239</v>
      </c>
      <c r="F16" s="38">
        <v>2697</v>
      </c>
      <c r="G16" s="38">
        <v>45720</v>
      </c>
      <c r="H16" s="38">
        <v>562107</v>
      </c>
      <c r="I16" s="38">
        <v>3388709.1160690989</v>
      </c>
      <c r="J16" s="38">
        <v>2.8839309011172864</v>
      </c>
      <c r="K16" s="38">
        <v>903550</v>
      </c>
      <c r="L16" s="38">
        <v>62564642</v>
      </c>
      <c r="M16" s="38">
        <v>26175296</v>
      </c>
      <c r="N16" s="38">
        <v>6708120</v>
      </c>
      <c r="O16" s="38">
        <v>18310513</v>
      </c>
      <c r="P16" s="38">
        <v>13493061</v>
      </c>
      <c r="Q16" s="38">
        <v>26369922</v>
      </c>
      <c r="R16" s="38">
        <v>1765850</v>
      </c>
      <c r="S16" s="38">
        <v>1069388</v>
      </c>
      <c r="T16" s="38">
        <v>413958</v>
      </c>
      <c r="U16" s="38">
        <v>170727</v>
      </c>
      <c r="V16" s="38">
        <v>25701309</v>
      </c>
      <c r="W16" s="38">
        <v>-713</v>
      </c>
      <c r="X16" s="38">
        <v>132195</v>
      </c>
      <c r="Y16" s="38">
        <v>27276</v>
      </c>
      <c r="Z16" s="38">
        <v>-21236</v>
      </c>
      <c r="AA16" s="38">
        <v>-69</v>
      </c>
      <c r="AB16" s="38">
        <v>-534</v>
      </c>
      <c r="AC16" s="38">
        <v>435186</v>
      </c>
      <c r="AD16" s="38">
        <v>1189</v>
      </c>
      <c r="AE16" s="38">
        <v>3109</v>
      </c>
      <c r="AF16" s="38">
        <v>-19677</v>
      </c>
      <c r="AG16" s="38">
        <v>366089</v>
      </c>
      <c r="AH16" s="38">
        <v>-4842</v>
      </c>
      <c r="AI16" s="38">
        <v>-29801</v>
      </c>
      <c r="AJ16" s="38">
        <v>9136</v>
      </c>
      <c r="AK16" s="26">
        <v>188668426</v>
      </c>
      <c r="AL16" s="38">
        <v>-731720</v>
      </c>
      <c r="AM16" s="38">
        <v>0</v>
      </c>
      <c r="AN16" s="38">
        <v>-3134918</v>
      </c>
      <c r="AO16" s="38">
        <v>-83309</v>
      </c>
      <c r="AP16" s="38">
        <v>118320</v>
      </c>
      <c r="AQ16" s="38">
        <v>163833</v>
      </c>
      <c r="AR16" s="38">
        <v>59288136</v>
      </c>
      <c r="AS16" s="26">
        <v>55620342</v>
      </c>
      <c r="AT16" s="27">
        <v>244288768</v>
      </c>
      <c r="AU16" s="42">
        <v>135389956.03120917</v>
      </c>
      <c r="AV16" s="38"/>
      <c r="AW16" s="38"/>
      <c r="AX16" s="38">
        <v>35552155.266015202</v>
      </c>
      <c r="AY16" s="38">
        <v>0</v>
      </c>
      <c r="AZ16" s="38">
        <v>0</v>
      </c>
      <c r="BA16" s="27">
        <v>170942111.29722437</v>
      </c>
    </row>
    <row r="17" spans="1:53" ht="13.5" customHeight="1">
      <c r="A17" s="44" t="s">
        <v>53</v>
      </c>
      <c r="B17" s="15" t="s">
        <v>54</v>
      </c>
      <c r="C17" s="38">
        <v>77940</v>
      </c>
      <c r="D17" s="38">
        <v>117861</v>
      </c>
      <c r="E17" s="38">
        <v>2371080</v>
      </c>
      <c r="F17" s="38">
        <v>248175</v>
      </c>
      <c r="G17" s="38">
        <v>609407</v>
      </c>
      <c r="H17" s="38">
        <v>2900135</v>
      </c>
      <c r="I17" s="38">
        <v>2673616.3178722081</v>
      </c>
      <c r="J17" s="38">
        <v>4.6821277920415634</v>
      </c>
      <c r="K17" s="38">
        <v>667203</v>
      </c>
      <c r="L17" s="38">
        <v>1573739</v>
      </c>
      <c r="M17" s="38">
        <v>20929812</v>
      </c>
      <c r="N17" s="38">
        <v>2705363</v>
      </c>
      <c r="O17" s="38">
        <v>5224767</v>
      </c>
      <c r="P17" s="38">
        <v>19768968</v>
      </c>
      <c r="Q17" s="38">
        <v>18833190</v>
      </c>
      <c r="R17" s="38">
        <v>1490999</v>
      </c>
      <c r="S17" s="38">
        <v>1288202</v>
      </c>
      <c r="T17" s="38">
        <v>869133</v>
      </c>
      <c r="U17" s="38">
        <v>548021</v>
      </c>
      <c r="V17" s="38">
        <v>25476298</v>
      </c>
      <c r="W17" s="38">
        <v>1147254</v>
      </c>
      <c r="X17" s="38">
        <v>1077767</v>
      </c>
      <c r="Y17" s="38">
        <v>1741987</v>
      </c>
      <c r="Z17" s="38">
        <v>251710</v>
      </c>
      <c r="AA17" s="38">
        <v>141513</v>
      </c>
      <c r="AB17" s="38">
        <v>200822</v>
      </c>
      <c r="AC17" s="38">
        <v>1247365</v>
      </c>
      <c r="AD17" s="38">
        <v>1101443</v>
      </c>
      <c r="AE17" s="38">
        <v>1742143</v>
      </c>
      <c r="AF17" s="38">
        <v>474147</v>
      </c>
      <c r="AG17" s="38">
        <v>355816</v>
      </c>
      <c r="AH17" s="38">
        <v>255624</v>
      </c>
      <c r="AI17" s="38">
        <v>953188</v>
      </c>
      <c r="AJ17" s="38">
        <v>15794</v>
      </c>
      <c r="AK17" s="26">
        <v>119080487</v>
      </c>
      <c r="AL17" s="38">
        <v>1887217</v>
      </c>
      <c r="AM17" s="38">
        <v>0</v>
      </c>
      <c r="AN17" s="38">
        <v>6527800</v>
      </c>
      <c r="AO17" s="38">
        <v>2370938</v>
      </c>
      <c r="AP17" s="38">
        <v>174696</v>
      </c>
      <c r="AQ17" s="38">
        <v>0</v>
      </c>
      <c r="AR17" s="38">
        <v>17376557</v>
      </c>
      <c r="AS17" s="26">
        <v>28337208</v>
      </c>
      <c r="AT17" s="27">
        <v>147417695</v>
      </c>
      <c r="AU17" s="42">
        <v>99410721.416656435</v>
      </c>
      <c r="AV17" s="38"/>
      <c r="AW17" s="38"/>
      <c r="AX17" s="38">
        <v>9828414.2137364093</v>
      </c>
      <c r="AY17" s="38">
        <v>0</v>
      </c>
      <c r="AZ17" s="38">
        <v>0</v>
      </c>
      <c r="BA17" s="27">
        <v>109239135.63039285</v>
      </c>
    </row>
    <row r="18" spans="1:53" ht="13.5" customHeight="1">
      <c r="A18" s="44" t="s">
        <v>55</v>
      </c>
      <c r="B18" s="15" t="s">
        <v>56</v>
      </c>
      <c r="C18" s="38">
        <v>181673</v>
      </c>
      <c r="D18" s="38">
        <v>13321</v>
      </c>
      <c r="E18" s="38">
        <v>179518</v>
      </c>
      <c r="F18" s="38">
        <v>41611</v>
      </c>
      <c r="G18" s="38">
        <v>229681</v>
      </c>
      <c r="H18" s="38">
        <v>822010</v>
      </c>
      <c r="I18" s="38">
        <v>730147.74729454634</v>
      </c>
      <c r="J18" s="38">
        <v>1.2527054537033613</v>
      </c>
      <c r="K18" s="38">
        <v>94215</v>
      </c>
      <c r="L18" s="38">
        <v>473834</v>
      </c>
      <c r="M18" s="38">
        <v>1129751</v>
      </c>
      <c r="N18" s="38">
        <v>111091806</v>
      </c>
      <c r="O18" s="38">
        <v>14357957</v>
      </c>
      <c r="P18" s="38">
        <v>8884238</v>
      </c>
      <c r="Q18" s="38">
        <v>11446256</v>
      </c>
      <c r="R18" s="38">
        <v>150345</v>
      </c>
      <c r="S18" s="38">
        <v>2381775</v>
      </c>
      <c r="T18" s="38">
        <v>1173725</v>
      </c>
      <c r="U18" s="38">
        <v>449580</v>
      </c>
      <c r="V18" s="38">
        <v>1185699</v>
      </c>
      <c r="W18" s="38">
        <v>3095517</v>
      </c>
      <c r="X18" s="38">
        <v>872734</v>
      </c>
      <c r="Y18" s="38">
        <v>1525087</v>
      </c>
      <c r="Z18" s="38">
        <v>10007238</v>
      </c>
      <c r="AA18" s="38">
        <v>604376</v>
      </c>
      <c r="AB18" s="38">
        <v>631498</v>
      </c>
      <c r="AC18" s="38">
        <v>13688295</v>
      </c>
      <c r="AD18" s="38">
        <v>1617811</v>
      </c>
      <c r="AE18" s="38">
        <v>1101557</v>
      </c>
      <c r="AF18" s="38">
        <v>1963339</v>
      </c>
      <c r="AG18" s="38">
        <v>4361931</v>
      </c>
      <c r="AH18" s="38">
        <v>523425</v>
      </c>
      <c r="AI18" s="38">
        <v>2615814</v>
      </c>
      <c r="AJ18" s="38">
        <v>51754</v>
      </c>
      <c r="AK18" s="26">
        <v>197677520</v>
      </c>
      <c r="AL18" s="38">
        <v>25091325</v>
      </c>
      <c r="AM18" s="38">
        <v>0</v>
      </c>
      <c r="AN18" s="38">
        <v>30155221</v>
      </c>
      <c r="AO18" s="38">
        <v>4162495</v>
      </c>
      <c r="AP18" s="38">
        <v>486519</v>
      </c>
      <c r="AQ18" s="38">
        <v>0</v>
      </c>
      <c r="AR18" s="38">
        <v>191050500</v>
      </c>
      <c r="AS18" s="26">
        <v>250946060</v>
      </c>
      <c r="AT18" s="27">
        <v>448623580</v>
      </c>
      <c r="AU18" s="42">
        <v>358809398.08642983</v>
      </c>
      <c r="AV18" s="38"/>
      <c r="AW18" s="38"/>
      <c r="AX18" s="38">
        <v>126776240.67296386</v>
      </c>
      <c r="AY18" s="38">
        <v>0</v>
      </c>
      <c r="AZ18" s="38">
        <v>0</v>
      </c>
      <c r="BA18" s="27">
        <v>485585638.75939369</v>
      </c>
    </row>
    <row r="19" spans="1:53" ht="13.5" customHeight="1">
      <c r="A19" s="44" t="s">
        <v>57</v>
      </c>
      <c r="B19" s="15" t="s">
        <v>58</v>
      </c>
      <c r="C19" s="38">
        <v>127130</v>
      </c>
      <c r="D19" s="38">
        <v>94350</v>
      </c>
      <c r="E19" s="38">
        <v>134004</v>
      </c>
      <c r="F19" s="38">
        <v>66778</v>
      </c>
      <c r="G19" s="38">
        <v>206216</v>
      </c>
      <c r="H19" s="38">
        <v>469945</v>
      </c>
      <c r="I19" s="38">
        <v>534498.05003808765</v>
      </c>
      <c r="J19" s="38">
        <v>0.94996191238251726</v>
      </c>
      <c r="K19" s="38">
        <v>332306</v>
      </c>
      <c r="L19" s="38">
        <v>548446</v>
      </c>
      <c r="M19" s="38">
        <v>1395586</v>
      </c>
      <c r="N19" s="38">
        <v>8141816</v>
      </c>
      <c r="O19" s="38">
        <v>43904389</v>
      </c>
      <c r="P19" s="38">
        <v>8454471</v>
      </c>
      <c r="Q19" s="38">
        <v>25867522</v>
      </c>
      <c r="R19" s="38">
        <v>311865</v>
      </c>
      <c r="S19" s="38">
        <v>2037205</v>
      </c>
      <c r="T19" s="38">
        <v>2146060</v>
      </c>
      <c r="U19" s="38">
        <v>972943</v>
      </c>
      <c r="V19" s="38">
        <v>15485158</v>
      </c>
      <c r="W19" s="38">
        <v>1888909</v>
      </c>
      <c r="X19" s="38">
        <v>3253534</v>
      </c>
      <c r="Y19" s="38">
        <v>2548408</v>
      </c>
      <c r="Z19" s="38">
        <v>3173256</v>
      </c>
      <c r="AA19" s="38">
        <v>368769</v>
      </c>
      <c r="AB19" s="38">
        <v>850238</v>
      </c>
      <c r="AC19" s="38">
        <v>8335414</v>
      </c>
      <c r="AD19" s="38">
        <v>2483438</v>
      </c>
      <c r="AE19" s="38">
        <v>982153</v>
      </c>
      <c r="AF19" s="38">
        <v>785992</v>
      </c>
      <c r="AG19" s="38">
        <v>597813</v>
      </c>
      <c r="AH19" s="38">
        <v>457683</v>
      </c>
      <c r="AI19" s="38">
        <v>3195593</v>
      </c>
      <c r="AJ19" s="38">
        <v>11785</v>
      </c>
      <c r="AK19" s="26">
        <v>140163674</v>
      </c>
      <c r="AL19" s="38">
        <v>11254160</v>
      </c>
      <c r="AM19" s="38">
        <v>0</v>
      </c>
      <c r="AN19" s="38">
        <v>15865555</v>
      </c>
      <c r="AO19" s="38">
        <v>302355</v>
      </c>
      <c r="AP19" s="38">
        <v>-360625</v>
      </c>
      <c r="AQ19" s="38">
        <v>0</v>
      </c>
      <c r="AR19" s="38">
        <v>46805116</v>
      </c>
      <c r="AS19" s="26">
        <v>73866561</v>
      </c>
      <c r="AT19" s="27">
        <v>214030235</v>
      </c>
      <c r="AU19" s="42">
        <v>144060290.14251709</v>
      </c>
      <c r="AV19" s="38"/>
      <c r="AW19" s="38"/>
      <c r="AX19" s="38">
        <v>37260088.619400777</v>
      </c>
      <c r="AY19" s="38">
        <v>0</v>
      </c>
      <c r="AZ19" s="38">
        <v>0</v>
      </c>
      <c r="BA19" s="27">
        <v>181320378.76191786</v>
      </c>
    </row>
    <row r="20" spans="1:53" ht="13.5" customHeight="1">
      <c r="A20" s="44" t="s">
        <v>59</v>
      </c>
      <c r="B20" s="15" t="s">
        <v>11</v>
      </c>
      <c r="C20" s="38">
        <v>129919</v>
      </c>
      <c r="D20" s="38">
        <v>120796</v>
      </c>
      <c r="E20" s="38">
        <v>347920</v>
      </c>
      <c r="F20" s="38">
        <v>31863</v>
      </c>
      <c r="G20" s="38">
        <v>94508</v>
      </c>
      <c r="H20" s="38">
        <v>1382092</v>
      </c>
      <c r="I20" s="38">
        <v>788528</v>
      </c>
      <c r="J20" s="38">
        <v>100</v>
      </c>
      <c r="K20" s="38">
        <v>155078</v>
      </c>
      <c r="L20" s="38">
        <v>734140</v>
      </c>
      <c r="M20" s="38">
        <v>2600060</v>
      </c>
      <c r="N20" s="38">
        <v>1519513</v>
      </c>
      <c r="O20" s="38">
        <v>1498282</v>
      </c>
      <c r="P20" s="38">
        <v>39011415</v>
      </c>
      <c r="Q20" s="38">
        <v>9746821</v>
      </c>
      <c r="R20" s="38">
        <v>56187</v>
      </c>
      <c r="S20" s="38">
        <v>1472837</v>
      </c>
      <c r="T20" s="38">
        <v>1127344</v>
      </c>
      <c r="U20" s="38">
        <v>1179355</v>
      </c>
      <c r="V20" s="38">
        <v>11223089</v>
      </c>
      <c r="W20" s="38">
        <v>650365</v>
      </c>
      <c r="X20" s="38">
        <v>989282</v>
      </c>
      <c r="Y20" s="38">
        <v>370234</v>
      </c>
      <c r="Z20" s="38">
        <v>128658</v>
      </c>
      <c r="AA20" s="38">
        <v>50603</v>
      </c>
      <c r="AB20" s="38">
        <v>337724</v>
      </c>
      <c r="AC20" s="38">
        <v>1323848</v>
      </c>
      <c r="AD20" s="38">
        <v>383679</v>
      </c>
      <c r="AE20" s="38">
        <v>539228</v>
      </c>
      <c r="AF20" s="38">
        <v>368941</v>
      </c>
      <c r="AG20" s="38">
        <v>247391</v>
      </c>
      <c r="AH20" s="38">
        <v>151440</v>
      </c>
      <c r="AI20" s="38">
        <v>135707</v>
      </c>
      <c r="AJ20" s="38">
        <v>6506</v>
      </c>
      <c r="AK20" s="26">
        <v>78903453</v>
      </c>
      <c r="AL20" s="38">
        <v>2796216</v>
      </c>
      <c r="AM20" s="38">
        <v>0</v>
      </c>
      <c r="AN20" s="38">
        <v>90764774</v>
      </c>
      <c r="AO20" s="38">
        <v>1006484</v>
      </c>
      <c r="AP20" s="38">
        <v>229139</v>
      </c>
      <c r="AQ20" s="38">
        <v>0</v>
      </c>
      <c r="AR20" s="38">
        <v>70735546</v>
      </c>
      <c r="AS20" s="26">
        <v>165532159</v>
      </c>
      <c r="AT20" s="27">
        <v>244435612</v>
      </c>
      <c r="AU20" s="42">
        <v>166966612.02598816</v>
      </c>
      <c r="AV20" s="38"/>
      <c r="AW20" s="38"/>
      <c r="AX20" s="38">
        <v>56000986.985845923</v>
      </c>
      <c r="AY20" s="38">
        <v>0</v>
      </c>
      <c r="AZ20" s="38">
        <v>0</v>
      </c>
      <c r="BA20" s="27">
        <v>222967599.01183408</v>
      </c>
    </row>
    <row r="21" spans="1:53" ht="13.5" customHeight="1">
      <c r="A21" s="44" t="s">
        <v>60</v>
      </c>
      <c r="B21" s="15" t="s">
        <v>12</v>
      </c>
      <c r="C21" s="38">
        <v>214292</v>
      </c>
      <c r="D21" s="38">
        <v>171746</v>
      </c>
      <c r="E21" s="38">
        <v>36186</v>
      </c>
      <c r="F21" s="38">
        <v>13210</v>
      </c>
      <c r="G21" s="38">
        <v>88391</v>
      </c>
      <c r="H21" s="38">
        <v>261289</v>
      </c>
      <c r="I21" s="38">
        <v>302512.43789051368</v>
      </c>
      <c r="J21" s="38">
        <v>0.56210948633998048</v>
      </c>
      <c r="K21" s="38">
        <v>199501</v>
      </c>
      <c r="L21" s="38">
        <v>171865</v>
      </c>
      <c r="M21" s="38">
        <v>276460</v>
      </c>
      <c r="N21" s="38">
        <v>16439</v>
      </c>
      <c r="O21" s="38">
        <v>89307</v>
      </c>
      <c r="P21" s="38">
        <v>701786</v>
      </c>
      <c r="Q21" s="38">
        <v>96037051</v>
      </c>
      <c r="R21" s="38">
        <v>18832</v>
      </c>
      <c r="S21" s="38">
        <v>3598588</v>
      </c>
      <c r="T21" s="38">
        <v>153854</v>
      </c>
      <c r="U21" s="38">
        <v>575492</v>
      </c>
      <c r="V21" s="38">
        <v>37247</v>
      </c>
      <c r="W21" s="38">
        <v>681877</v>
      </c>
      <c r="X21" s="38">
        <v>10079696</v>
      </c>
      <c r="Y21" s="38">
        <v>179329</v>
      </c>
      <c r="Z21" s="38">
        <v>151437</v>
      </c>
      <c r="AA21" s="38">
        <v>22514</v>
      </c>
      <c r="AB21" s="38">
        <v>43088</v>
      </c>
      <c r="AC21" s="38">
        <v>3650026</v>
      </c>
      <c r="AD21" s="38">
        <v>876040</v>
      </c>
      <c r="AE21" s="38">
        <v>3578727</v>
      </c>
      <c r="AF21" s="38">
        <v>166906</v>
      </c>
      <c r="AG21" s="38">
        <v>225780</v>
      </c>
      <c r="AH21" s="38">
        <v>108240</v>
      </c>
      <c r="AI21" s="38">
        <v>7993657</v>
      </c>
      <c r="AJ21" s="38">
        <v>7888</v>
      </c>
      <c r="AK21" s="26">
        <v>130729254</v>
      </c>
      <c r="AL21" s="38">
        <v>40901705</v>
      </c>
      <c r="AM21" s="38">
        <v>0</v>
      </c>
      <c r="AN21" s="38">
        <v>42292727</v>
      </c>
      <c r="AO21" s="38">
        <v>13019884</v>
      </c>
      <c r="AP21" s="38">
        <v>3133154</v>
      </c>
      <c r="AQ21" s="38">
        <v>0</v>
      </c>
      <c r="AR21" s="38">
        <v>157357500</v>
      </c>
      <c r="AS21" s="26">
        <v>256704970</v>
      </c>
      <c r="AT21" s="27">
        <v>387434224</v>
      </c>
      <c r="AU21" s="42">
        <v>307861095.92296749</v>
      </c>
      <c r="AV21" s="38"/>
      <c r="AW21" s="38"/>
      <c r="AX21" s="38">
        <v>49355856.147581197</v>
      </c>
      <c r="AY21" s="38">
        <v>0</v>
      </c>
      <c r="AZ21" s="38">
        <v>0</v>
      </c>
      <c r="BA21" s="27">
        <v>357216952.07054871</v>
      </c>
    </row>
    <row r="22" spans="1:53" ht="13.5" customHeight="1">
      <c r="A22" s="44" t="s">
        <v>61</v>
      </c>
      <c r="B22" s="15" t="s">
        <v>62</v>
      </c>
      <c r="C22" s="38">
        <v>13043</v>
      </c>
      <c r="D22" s="38">
        <v>4348</v>
      </c>
      <c r="E22" s="38">
        <v>265784</v>
      </c>
      <c r="F22" s="38">
        <v>400619</v>
      </c>
      <c r="G22" s="38">
        <v>49555</v>
      </c>
      <c r="H22" s="38">
        <v>19543</v>
      </c>
      <c r="I22" s="38">
        <v>63825.907243230256</v>
      </c>
      <c r="J22" s="38">
        <v>9.275676974681614E-2</v>
      </c>
      <c r="K22" s="38">
        <v>9664</v>
      </c>
      <c r="L22" s="38">
        <v>32816</v>
      </c>
      <c r="M22" s="38">
        <v>127540</v>
      </c>
      <c r="N22" s="38">
        <v>53518</v>
      </c>
      <c r="O22" s="38">
        <v>39413</v>
      </c>
      <c r="P22" s="38">
        <v>60546</v>
      </c>
      <c r="Q22" s="38">
        <v>58127</v>
      </c>
      <c r="R22" s="38">
        <v>1765026</v>
      </c>
      <c r="S22" s="38">
        <v>211009</v>
      </c>
      <c r="T22" s="38">
        <v>19253</v>
      </c>
      <c r="U22" s="38">
        <v>201605</v>
      </c>
      <c r="V22" s="38">
        <v>2450611</v>
      </c>
      <c r="W22" s="38">
        <v>958311</v>
      </c>
      <c r="X22" s="38">
        <v>218259</v>
      </c>
      <c r="Y22" s="38">
        <v>2773762</v>
      </c>
      <c r="Z22" s="38">
        <v>459712</v>
      </c>
      <c r="AA22" s="38">
        <v>238915</v>
      </c>
      <c r="AB22" s="38">
        <v>984873</v>
      </c>
      <c r="AC22" s="38">
        <v>1963776</v>
      </c>
      <c r="AD22" s="38">
        <v>962940</v>
      </c>
      <c r="AE22" s="38">
        <v>659646</v>
      </c>
      <c r="AF22" s="38">
        <v>2473529</v>
      </c>
      <c r="AG22" s="38">
        <v>820745</v>
      </c>
      <c r="AH22" s="38">
        <v>1323183</v>
      </c>
      <c r="AI22" s="38">
        <v>807734</v>
      </c>
      <c r="AJ22" s="38">
        <v>11875</v>
      </c>
      <c r="AK22" s="26">
        <v>20503106</v>
      </c>
      <c r="AL22" s="38">
        <v>10947329</v>
      </c>
      <c r="AM22" s="38">
        <v>0</v>
      </c>
      <c r="AN22" s="38">
        <v>4161544</v>
      </c>
      <c r="AO22" s="38">
        <v>210426</v>
      </c>
      <c r="AP22" s="38">
        <v>166929</v>
      </c>
      <c r="AQ22" s="38">
        <v>1489650</v>
      </c>
      <c r="AR22" s="38">
        <v>3980497</v>
      </c>
      <c r="AS22" s="26">
        <v>20956375</v>
      </c>
      <c r="AT22" s="27">
        <v>41459481</v>
      </c>
      <c r="AU22" s="42">
        <v>23870056.767149303</v>
      </c>
      <c r="AV22" s="38"/>
      <c r="AW22" s="38"/>
      <c r="AX22" s="38">
        <v>9840235.3981201556</v>
      </c>
      <c r="AY22" s="38">
        <v>0</v>
      </c>
      <c r="AZ22" s="38">
        <v>0</v>
      </c>
      <c r="BA22" s="27">
        <v>33710292.165269457</v>
      </c>
    </row>
    <row r="23" spans="1:53" ht="13.5" customHeight="1">
      <c r="A23" s="44" t="s">
        <v>63</v>
      </c>
      <c r="B23" s="15" t="s">
        <v>64</v>
      </c>
      <c r="C23" s="38">
        <v>242070</v>
      </c>
      <c r="D23" s="38">
        <v>152155</v>
      </c>
      <c r="E23" s="38">
        <v>5486522</v>
      </c>
      <c r="F23" s="38">
        <v>9985095</v>
      </c>
      <c r="G23" s="38">
        <v>1801603</v>
      </c>
      <c r="H23" s="38">
        <v>435565</v>
      </c>
      <c r="I23" s="38">
        <v>9541651.0404655579</v>
      </c>
      <c r="J23" s="38">
        <v>17.959534442301969</v>
      </c>
      <c r="K23" s="38">
        <v>1369996</v>
      </c>
      <c r="L23" s="38">
        <v>4224299</v>
      </c>
      <c r="M23" s="38">
        <v>5725936</v>
      </c>
      <c r="N23" s="38">
        <v>18958535</v>
      </c>
      <c r="O23" s="38">
        <v>6950897</v>
      </c>
      <c r="P23" s="38">
        <v>12079284</v>
      </c>
      <c r="Q23" s="38">
        <v>8404373</v>
      </c>
      <c r="R23" s="38">
        <v>2035952</v>
      </c>
      <c r="S23" s="38">
        <v>12334112</v>
      </c>
      <c r="T23" s="38">
        <v>411980</v>
      </c>
      <c r="U23" s="38">
        <v>403424</v>
      </c>
      <c r="V23" s="38">
        <v>190115</v>
      </c>
      <c r="W23" s="38">
        <v>524872</v>
      </c>
      <c r="X23" s="38">
        <v>87915</v>
      </c>
      <c r="Y23" s="38">
        <v>119377</v>
      </c>
      <c r="Z23" s="38">
        <v>257520</v>
      </c>
      <c r="AA23" s="38">
        <v>52047</v>
      </c>
      <c r="AB23" s="38">
        <v>76140</v>
      </c>
      <c r="AC23" s="38">
        <v>312264</v>
      </c>
      <c r="AD23" s="38">
        <v>1017368</v>
      </c>
      <c r="AE23" s="38">
        <v>230996</v>
      </c>
      <c r="AF23" s="38">
        <v>285366</v>
      </c>
      <c r="AG23" s="38">
        <v>1116365</v>
      </c>
      <c r="AH23" s="38">
        <v>128510</v>
      </c>
      <c r="AI23" s="38">
        <v>55174</v>
      </c>
      <c r="AJ23" s="38">
        <v>1492</v>
      </c>
      <c r="AK23" s="26">
        <v>104998988</v>
      </c>
      <c r="AL23" s="38">
        <v>28837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4155270</v>
      </c>
      <c r="AS23" s="26">
        <v>4184107</v>
      </c>
      <c r="AT23" s="27">
        <v>109183095</v>
      </c>
      <c r="AU23" s="42">
        <v>78915573.606918126</v>
      </c>
      <c r="AV23" s="38"/>
      <c r="AW23" s="38"/>
      <c r="AX23" s="38">
        <v>9904372.9552804064</v>
      </c>
      <c r="AY23" s="38">
        <v>0</v>
      </c>
      <c r="AZ23" s="38">
        <v>0</v>
      </c>
      <c r="BA23" s="27">
        <v>88819946.562198535</v>
      </c>
    </row>
    <row r="24" spans="1:53" ht="13.5" customHeight="1">
      <c r="A24" s="44" t="s">
        <v>65</v>
      </c>
      <c r="B24" s="15" t="s">
        <v>13</v>
      </c>
      <c r="C24" s="38">
        <v>1767890</v>
      </c>
      <c r="D24" s="38">
        <v>309520</v>
      </c>
      <c r="E24" s="38">
        <v>3418331</v>
      </c>
      <c r="F24" s="38">
        <v>1482512</v>
      </c>
      <c r="G24" s="38">
        <v>2587944</v>
      </c>
      <c r="H24" s="38">
        <v>4698075</v>
      </c>
      <c r="I24" s="38">
        <v>13644306</v>
      </c>
      <c r="J24" s="38">
        <v>200</v>
      </c>
      <c r="K24" s="38">
        <v>2510460</v>
      </c>
      <c r="L24" s="38">
        <v>13713403</v>
      </c>
      <c r="M24" s="38">
        <v>1874689</v>
      </c>
      <c r="N24" s="38">
        <v>10769625</v>
      </c>
      <c r="O24" s="38">
        <v>1765024</v>
      </c>
      <c r="P24" s="38">
        <v>2141590</v>
      </c>
      <c r="Q24" s="38">
        <v>4950664</v>
      </c>
      <c r="R24" s="38">
        <v>197778</v>
      </c>
      <c r="S24" s="38">
        <v>810329</v>
      </c>
      <c r="T24" s="38">
        <v>25782761</v>
      </c>
      <c r="U24" s="38">
        <v>909490</v>
      </c>
      <c r="V24" s="38">
        <v>748789</v>
      </c>
      <c r="W24" s="38">
        <v>3749316</v>
      </c>
      <c r="X24" s="38">
        <v>3699428</v>
      </c>
      <c r="Y24" s="38">
        <v>1395483</v>
      </c>
      <c r="Z24" s="38">
        <v>1207141</v>
      </c>
      <c r="AA24" s="38">
        <v>1004513</v>
      </c>
      <c r="AB24" s="38">
        <v>2119641</v>
      </c>
      <c r="AC24" s="38">
        <v>6920949</v>
      </c>
      <c r="AD24" s="38">
        <v>477521</v>
      </c>
      <c r="AE24" s="38">
        <v>1132201</v>
      </c>
      <c r="AF24" s="38">
        <v>3465835</v>
      </c>
      <c r="AG24" s="38">
        <v>1954483</v>
      </c>
      <c r="AH24" s="38">
        <v>920786</v>
      </c>
      <c r="AI24" s="38">
        <v>777356</v>
      </c>
      <c r="AJ24" s="38">
        <v>2523</v>
      </c>
      <c r="AK24" s="26">
        <v>122910556</v>
      </c>
      <c r="AL24" s="38">
        <v>28833591</v>
      </c>
      <c r="AM24" s="38">
        <v>0</v>
      </c>
      <c r="AN24" s="38">
        <v>0</v>
      </c>
      <c r="AO24" s="38">
        <v>0</v>
      </c>
      <c r="AP24" s="38">
        <v>0</v>
      </c>
      <c r="AQ24" s="38">
        <v>0</v>
      </c>
      <c r="AR24" s="38">
        <v>163506</v>
      </c>
      <c r="AS24" s="26">
        <v>28997097</v>
      </c>
      <c r="AT24" s="27">
        <v>151907653</v>
      </c>
      <c r="AU24" s="42">
        <v>101014452.06722674</v>
      </c>
      <c r="AV24" s="38"/>
      <c r="AW24" s="38"/>
      <c r="AX24" s="38">
        <v>162080.64470001709</v>
      </c>
      <c r="AY24" s="38">
        <v>0</v>
      </c>
      <c r="AZ24" s="38">
        <v>0</v>
      </c>
      <c r="BA24" s="27">
        <v>101176532.71192676</v>
      </c>
    </row>
    <row r="25" spans="1:53" ht="13.5" customHeight="1">
      <c r="A25" s="44" t="s">
        <v>66</v>
      </c>
      <c r="B25" s="15" t="s">
        <v>67</v>
      </c>
      <c r="C25" s="38">
        <v>89368</v>
      </c>
      <c r="D25" s="38">
        <v>14541</v>
      </c>
      <c r="E25" s="38">
        <v>826779</v>
      </c>
      <c r="F25" s="38">
        <v>386115</v>
      </c>
      <c r="G25" s="38">
        <v>575476</v>
      </c>
      <c r="H25" s="38">
        <v>130595</v>
      </c>
      <c r="I25" s="38">
        <v>4924306.1122185094</v>
      </c>
      <c r="J25" s="38">
        <v>9.8877814904713581</v>
      </c>
      <c r="K25" s="38">
        <v>637797</v>
      </c>
      <c r="L25" s="38">
        <v>5187656</v>
      </c>
      <c r="M25" s="38">
        <v>905612</v>
      </c>
      <c r="N25" s="38">
        <v>235320</v>
      </c>
      <c r="O25" s="38">
        <v>281475</v>
      </c>
      <c r="P25" s="38">
        <v>742523</v>
      </c>
      <c r="Q25" s="38">
        <v>461476</v>
      </c>
      <c r="R25" s="38">
        <v>55082</v>
      </c>
      <c r="S25" s="38">
        <v>255182</v>
      </c>
      <c r="T25" s="38">
        <v>332905</v>
      </c>
      <c r="U25" s="38">
        <v>2236474</v>
      </c>
      <c r="V25" s="38">
        <v>341237</v>
      </c>
      <c r="W25" s="38">
        <v>165479</v>
      </c>
      <c r="X25" s="38">
        <v>464005</v>
      </c>
      <c r="Y25" s="38">
        <v>2878054</v>
      </c>
      <c r="Z25" s="38">
        <v>361325</v>
      </c>
      <c r="AA25" s="38">
        <v>303706</v>
      </c>
      <c r="AB25" s="38">
        <v>2573899</v>
      </c>
      <c r="AC25" s="38">
        <v>1005874</v>
      </c>
      <c r="AD25" s="38">
        <v>452566</v>
      </c>
      <c r="AE25" s="38">
        <v>1046785</v>
      </c>
      <c r="AF25" s="38">
        <v>1383081</v>
      </c>
      <c r="AG25" s="38">
        <v>1977621</v>
      </c>
      <c r="AH25" s="38">
        <v>421875</v>
      </c>
      <c r="AI25" s="38">
        <v>627650</v>
      </c>
      <c r="AJ25" s="38">
        <v>8234</v>
      </c>
      <c r="AK25" s="26">
        <v>32290083</v>
      </c>
      <c r="AL25" s="38">
        <v>5621462</v>
      </c>
      <c r="AM25" s="38">
        <v>3376692</v>
      </c>
      <c r="AN25" s="38">
        <v>0</v>
      </c>
      <c r="AO25" s="38">
        <v>0</v>
      </c>
      <c r="AP25" s="38">
        <v>0</v>
      </c>
      <c r="AQ25" s="38">
        <v>0</v>
      </c>
      <c r="AR25" s="38">
        <v>703138</v>
      </c>
      <c r="AS25" s="26">
        <v>9701292</v>
      </c>
      <c r="AT25" s="27">
        <v>41991375</v>
      </c>
      <c r="AU25" s="42">
        <v>38935899.292704582</v>
      </c>
      <c r="AV25" s="38"/>
      <c r="AW25" s="38"/>
      <c r="AX25" s="38">
        <v>152515.50882176487</v>
      </c>
      <c r="AY25" s="38">
        <v>0</v>
      </c>
      <c r="AZ25" s="38">
        <v>0</v>
      </c>
      <c r="BA25" s="27">
        <v>39088414.801526345</v>
      </c>
    </row>
    <row r="26" spans="1:53" ht="13.5" customHeight="1">
      <c r="A26" s="44" t="s">
        <v>68</v>
      </c>
      <c r="B26" s="15" t="s">
        <v>14</v>
      </c>
      <c r="C26" s="38">
        <v>88514</v>
      </c>
      <c r="D26" s="38">
        <v>32490</v>
      </c>
      <c r="E26" s="38">
        <v>115964</v>
      </c>
      <c r="F26" s="38">
        <v>17981</v>
      </c>
      <c r="G26" s="38">
        <v>52301</v>
      </c>
      <c r="H26" s="38">
        <v>105287</v>
      </c>
      <c r="I26" s="38">
        <v>239146.51869444415</v>
      </c>
      <c r="J26" s="38">
        <v>0.48130555584690365</v>
      </c>
      <c r="K26" s="38">
        <v>35374</v>
      </c>
      <c r="L26" s="38">
        <v>173084</v>
      </c>
      <c r="M26" s="38">
        <v>142250</v>
      </c>
      <c r="N26" s="38">
        <v>79641</v>
      </c>
      <c r="O26" s="38">
        <v>106790</v>
      </c>
      <c r="P26" s="38">
        <v>86476</v>
      </c>
      <c r="Q26" s="38">
        <v>23178</v>
      </c>
      <c r="R26" s="38">
        <v>15431</v>
      </c>
      <c r="S26" s="38">
        <v>19997</v>
      </c>
      <c r="T26" s="38">
        <v>294042</v>
      </c>
      <c r="U26" s="38">
        <v>116218</v>
      </c>
      <c r="V26" s="38">
        <v>22772</v>
      </c>
      <c r="W26" s="38">
        <v>382154</v>
      </c>
      <c r="X26" s="38">
        <v>135823</v>
      </c>
      <c r="Y26" s="38">
        <v>862064</v>
      </c>
      <c r="Z26" s="38">
        <v>378330</v>
      </c>
      <c r="AA26" s="38">
        <v>59155</v>
      </c>
      <c r="AB26" s="38">
        <v>18831564</v>
      </c>
      <c r="AC26" s="38">
        <v>837373</v>
      </c>
      <c r="AD26" s="38">
        <v>366211</v>
      </c>
      <c r="AE26" s="38">
        <v>850453</v>
      </c>
      <c r="AF26" s="38">
        <v>169025</v>
      </c>
      <c r="AG26" s="61">
        <v>98138</v>
      </c>
      <c r="AH26" s="61">
        <v>151080</v>
      </c>
      <c r="AI26" s="38">
        <v>166440</v>
      </c>
      <c r="AJ26" s="38">
        <v>8090</v>
      </c>
      <c r="AK26" s="26">
        <v>25062837</v>
      </c>
      <c r="AL26" s="38">
        <v>0</v>
      </c>
      <c r="AM26" s="38">
        <v>0</v>
      </c>
      <c r="AN26" s="38">
        <v>239341758</v>
      </c>
      <c r="AO26" s="38">
        <v>75543183</v>
      </c>
      <c r="AP26" s="38">
        <v>2120576</v>
      </c>
      <c r="AQ26" s="38">
        <v>0</v>
      </c>
      <c r="AR26" s="38">
        <v>171495</v>
      </c>
      <c r="AS26" s="26">
        <v>317177012</v>
      </c>
      <c r="AT26" s="27">
        <v>342239849</v>
      </c>
      <c r="AU26" s="42">
        <v>300207754.8497923</v>
      </c>
      <c r="AV26" s="38"/>
      <c r="AW26" s="38"/>
      <c r="AX26" s="38">
        <v>1229.1343878491505</v>
      </c>
      <c r="AY26" s="38">
        <v>0</v>
      </c>
      <c r="AZ26" s="38">
        <v>0</v>
      </c>
      <c r="BA26" s="27">
        <v>300208983.98418015</v>
      </c>
    </row>
    <row r="27" spans="1:53" ht="13.5" customHeight="1">
      <c r="A27" s="44" t="s">
        <v>69</v>
      </c>
      <c r="B27" s="15" t="s">
        <v>70</v>
      </c>
      <c r="C27" s="38">
        <v>4017209</v>
      </c>
      <c r="D27" s="38">
        <v>92735</v>
      </c>
      <c r="E27" s="38">
        <v>13462055</v>
      </c>
      <c r="F27" s="38">
        <v>6233010</v>
      </c>
      <c r="G27" s="38">
        <v>3475883</v>
      </c>
      <c r="H27" s="38">
        <v>2667447</v>
      </c>
      <c r="I27" s="38">
        <v>16297604.790265253</v>
      </c>
      <c r="J27" s="38">
        <v>31.209734747886156</v>
      </c>
      <c r="K27" s="38">
        <v>2168116</v>
      </c>
      <c r="L27" s="38">
        <v>4793951</v>
      </c>
      <c r="M27" s="38">
        <v>4627359</v>
      </c>
      <c r="N27" s="38">
        <v>12829244</v>
      </c>
      <c r="O27" s="38">
        <v>7574944</v>
      </c>
      <c r="P27" s="38">
        <v>7673225</v>
      </c>
      <c r="Q27" s="38">
        <v>14473615</v>
      </c>
      <c r="R27" s="38">
        <v>2501432</v>
      </c>
      <c r="S27" s="38">
        <v>2360968</v>
      </c>
      <c r="T27" s="38">
        <v>3590237</v>
      </c>
      <c r="U27" s="38">
        <v>1036779</v>
      </c>
      <c r="V27" s="38">
        <v>12332647</v>
      </c>
      <c r="W27" s="38">
        <v>17942218</v>
      </c>
      <c r="X27" s="38">
        <v>3342006</v>
      </c>
      <c r="Y27" s="38">
        <v>17133669</v>
      </c>
      <c r="Z27" s="38">
        <v>8902929</v>
      </c>
      <c r="AA27" s="38">
        <v>532693</v>
      </c>
      <c r="AB27" s="38">
        <v>771050</v>
      </c>
      <c r="AC27" s="38">
        <v>6796534</v>
      </c>
      <c r="AD27" s="38">
        <v>2561456</v>
      </c>
      <c r="AE27" s="38">
        <v>2237644</v>
      </c>
      <c r="AF27" s="38">
        <v>2524334</v>
      </c>
      <c r="AG27" s="61">
        <v>13549614</v>
      </c>
      <c r="AH27" s="61">
        <v>1885064</v>
      </c>
      <c r="AI27" s="38">
        <v>3582370</v>
      </c>
      <c r="AJ27" s="38">
        <v>43486</v>
      </c>
      <c r="AK27" s="26">
        <v>204013559</v>
      </c>
      <c r="AL27" s="38">
        <v>134942015</v>
      </c>
      <c r="AM27" s="38">
        <v>0</v>
      </c>
      <c r="AN27" s="38">
        <v>20207842</v>
      </c>
      <c r="AO27" s="38">
        <v>1806222</v>
      </c>
      <c r="AP27" s="38">
        <v>582671</v>
      </c>
      <c r="AQ27" s="38">
        <v>578417</v>
      </c>
      <c r="AR27" s="38">
        <v>39426548</v>
      </c>
      <c r="AS27" s="26">
        <v>197543715</v>
      </c>
      <c r="AT27" s="27">
        <v>401557274</v>
      </c>
      <c r="AU27" s="42">
        <v>351470508.11218393</v>
      </c>
      <c r="AV27" s="38"/>
      <c r="AW27" s="38"/>
      <c r="AX27" s="38">
        <v>4100783.9798341449</v>
      </c>
      <c r="AY27" s="38">
        <v>0</v>
      </c>
      <c r="AZ27" s="38">
        <v>0</v>
      </c>
      <c r="BA27" s="27">
        <v>355571292.09201807</v>
      </c>
    </row>
    <row r="28" spans="1:53" ht="13.5" customHeight="1">
      <c r="A28" s="44" t="s">
        <v>71</v>
      </c>
      <c r="B28" s="15" t="s">
        <v>42</v>
      </c>
      <c r="C28" s="38">
        <v>1919167</v>
      </c>
      <c r="D28" s="38">
        <v>799284</v>
      </c>
      <c r="E28" s="38">
        <v>6346706</v>
      </c>
      <c r="F28" s="38">
        <v>2668966</v>
      </c>
      <c r="G28" s="38">
        <v>2365196</v>
      </c>
      <c r="H28" s="38">
        <v>1716791</v>
      </c>
      <c r="I28" s="38">
        <v>11761451.759522457</v>
      </c>
      <c r="J28" s="38">
        <v>23.240477543601457</v>
      </c>
      <c r="K28" s="38">
        <v>5779159</v>
      </c>
      <c r="L28" s="38">
        <v>5382372</v>
      </c>
      <c r="M28" s="38">
        <v>3816276</v>
      </c>
      <c r="N28" s="38">
        <v>4240610</v>
      </c>
      <c r="O28" s="38">
        <v>2821897</v>
      </c>
      <c r="P28" s="38">
        <v>4171193</v>
      </c>
      <c r="Q28" s="38">
        <v>3826162</v>
      </c>
      <c r="R28" s="38">
        <v>1062698</v>
      </c>
      <c r="S28" s="38">
        <v>1535413</v>
      </c>
      <c r="T28" s="38">
        <v>700835</v>
      </c>
      <c r="U28" s="38">
        <v>3021647</v>
      </c>
      <c r="V28" s="38">
        <v>3493413</v>
      </c>
      <c r="W28" s="38">
        <v>30984703</v>
      </c>
      <c r="X28" s="38">
        <v>36280065</v>
      </c>
      <c r="Y28" s="38">
        <v>3439509</v>
      </c>
      <c r="Z28" s="38">
        <v>1733366</v>
      </c>
      <c r="AA28" s="38">
        <v>763410</v>
      </c>
      <c r="AB28" s="38">
        <v>734963</v>
      </c>
      <c r="AC28" s="38">
        <v>4637907</v>
      </c>
      <c r="AD28" s="38">
        <v>2409856</v>
      </c>
      <c r="AE28" s="38">
        <v>2789128</v>
      </c>
      <c r="AF28" s="38">
        <v>779792</v>
      </c>
      <c r="AG28" s="61">
        <v>1650316</v>
      </c>
      <c r="AH28" s="61">
        <v>456533</v>
      </c>
      <c r="AI28" s="38">
        <v>1197763</v>
      </c>
      <c r="AJ28" s="38">
        <v>194310</v>
      </c>
      <c r="AK28" s="26">
        <v>155480881</v>
      </c>
      <c r="AL28" s="38">
        <v>46349360</v>
      </c>
      <c r="AM28" s="38">
        <v>0</v>
      </c>
      <c r="AN28" s="38">
        <v>454497</v>
      </c>
      <c r="AO28" s="38">
        <v>177198</v>
      </c>
      <c r="AP28" s="38">
        <v>90062</v>
      </c>
      <c r="AQ28" s="38">
        <v>9663</v>
      </c>
      <c r="AR28" s="38">
        <v>51177729</v>
      </c>
      <c r="AS28" s="26">
        <v>98258509</v>
      </c>
      <c r="AT28" s="27">
        <v>253739390</v>
      </c>
      <c r="AU28" s="42">
        <v>195411162.48250645</v>
      </c>
      <c r="AV28" s="38"/>
      <c r="AW28" s="38"/>
      <c r="AX28" s="38">
        <v>24033278.189217493</v>
      </c>
      <c r="AY28" s="38">
        <v>0</v>
      </c>
      <c r="AZ28" s="38">
        <v>0</v>
      </c>
      <c r="BA28" s="27">
        <v>219444440.67172396</v>
      </c>
    </row>
    <row r="29" spans="1:53" ht="13.5" customHeight="1">
      <c r="A29" s="44" t="s">
        <v>72</v>
      </c>
      <c r="B29" s="15" t="s">
        <v>15</v>
      </c>
      <c r="C29" s="38">
        <v>486496</v>
      </c>
      <c r="D29" s="38">
        <v>118589</v>
      </c>
      <c r="E29" s="38">
        <v>714237</v>
      </c>
      <c r="F29" s="38">
        <v>554536</v>
      </c>
      <c r="G29" s="38">
        <v>579581</v>
      </c>
      <c r="H29" s="38">
        <v>281811</v>
      </c>
      <c r="I29" s="38">
        <v>1877937.4403341797</v>
      </c>
      <c r="J29" s="38">
        <v>3.5596658203160585</v>
      </c>
      <c r="K29" s="38">
        <v>397497</v>
      </c>
      <c r="L29" s="38">
        <v>909887</v>
      </c>
      <c r="M29" s="38">
        <v>1188218</v>
      </c>
      <c r="N29" s="38">
        <v>1271637</v>
      </c>
      <c r="O29" s="38">
        <v>654787</v>
      </c>
      <c r="P29" s="38">
        <v>1409906</v>
      </c>
      <c r="Q29" s="38">
        <v>1251367</v>
      </c>
      <c r="R29" s="38">
        <v>249705</v>
      </c>
      <c r="S29" s="38">
        <v>2627810</v>
      </c>
      <c r="T29" s="38">
        <v>395221</v>
      </c>
      <c r="U29" s="38">
        <v>706263</v>
      </c>
      <c r="V29" s="38">
        <v>1124688</v>
      </c>
      <c r="W29" s="38">
        <v>16374635</v>
      </c>
      <c r="X29" s="38">
        <v>2603168</v>
      </c>
      <c r="Y29" s="38">
        <v>1489195</v>
      </c>
      <c r="Z29" s="38">
        <v>3506755</v>
      </c>
      <c r="AA29" s="38">
        <v>4440413</v>
      </c>
      <c r="AB29" s="38">
        <v>2669324</v>
      </c>
      <c r="AC29" s="38">
        <v>13245276</v>
      </c>
      <c r="AD29" s="38">
        <v>4849979</v>
      </c>
      <c r="AE29" s="38">
        <v>5957103</v>
      </c>
      <c r="AF29" s="38">
        <v>4252669</v>
      </c>
      <c r="AG29" s="61">
        <v>5569033</v>
      </c>
      <c r="AH29" s="61">
        <v>2299807</v>
      </c>
      <c r="AI29" s="38">
        <v>5143416</v>
      </c>
      <c r="AJ29" s="38">
        <v>7472</v>
      </c>
      <c r="AK29" s="26">
        <v>89208422</v>
      </c>
      <c r="AL29" s="38">
        <v>143478057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38">
        <v>10651506</v>
      </c>
      <c r="AS29" s="26">
        <v>154129563</v>
      </c>
      <c r="AT29" s="27">
        <v>243337985</v>
      </c>
      <c r="AU29" s="42">
        <v>190044310.7957266</v>
      </c>
      <c r="AV29" s="38"/>
      <c r="AW29" s="38"/>
      <c r="AX29" s="38">
        <v>13461974.638493121</v>
      </c>
      <c r="AY29" s="38">
        <v>0</v>
      </c>
      <c r="AZ29" s="38">
        <v>0</v>
      </c>
      <c r="BA29" s="27">
        <v>203506285.43421972</v>
      </c>
    </row>
    <row r="30" spans="1:53" ht="13.5" customHeight="1">
      <c r="A30" s="44" t="s">
        <v>73</v>
      </c>
      <c r="B30" s="15" t="s">
        <v>16</v>
      </c>
      <c r="C30" s="38">
        <v>188130</v>
      </c>
      <c r="D30" s="38">
        <v>26237</v>
      </c>
      <c r="E30" s="38">
        <v>380285</v>
      </c>
      <c r="F30" s="38">
        <v>190878</v>
      </c>
      <c r="G30" s="38">
        <v>371296</v>
      </c>
      <c r="H30" s="38">
        <v>552800</v>
      </c>
      <c r="I30" s="38">
        <v>883075.44382445584</v>
      </c>
      <c r="J30" s="38">
        <v>1.5561755441015928</v>
      </c>
      <c r="K30" s="38">
        <v>168970</v>
      </c>
      <c r="L30" s="38">
        <v>631418</v>
      </c>
      <c r="M30" s="38">
        <v>565439</v>
      </c>
      <c r="N30" s="38">
        <v>1494611</v>
      </c>
      <c r="O30" s="38">
        <v>449424</v>
      </c>
      <c r="P30" s="38">
        <v>653347</v>
      </c>
      <c r="Q30" s="38">
        <v>799174</v>
      </c>
      <c r="R30" s="38">
        <v>268440</v>
      </c>
      <c r="S30" s="38">
        <v>621396</v>
      </c>
      <c r="T30" s="38">
        <v>203385</v>
      </c>
      <c r="U30" s="38">
        <v>580315</v>
      </c>
      <c r="V30" s="38">
        <v>863463</v>
      </c>
      <c r="W30" s="38">
        <v>10892513</v>
      </c>
      <c r="X30" s="38">
        <v>2462241</v>
      </c>
      <c r="Y30" s="38">
        <v>2378818</v>
      </c>
      <c r="Z30" s="38">
        <v>36692460</v>
      </c>
      <c r="AA30" s="38">
        <v>10613194</v>
      </c>
      <c r="AB30" s="38">
        <v>1313214</v>
      </c>
      <c r="AC30" s="38">
        <v>23465329</v>
      </c>
      <c r="AD30" s="38">
        <v>2729996</v>
      </c>
      <c r="AE30" s="38">
        <v>4923042</v>
      </c>
      <c r="AF30" s="38">
        <v>4578307</v>
      </c>
      <c r="AG30" s="61">
        <v>1581861</v>
      </c>
      <c r="AH30" s="61">
        <v>4156063</v>
      </c>
      <c r="AI30" s="38">
        <v>1552462</v>
      </c>
      <c r="AJ30" s="38">
        <v>39355</v>
      </c>
      <c r="AK30" s="26">
        <v>117270940</v>
      </c>
      <c r="AL30" s="38">
        <v>57033560</v>
      </c>
      <c r="AM30" s="38">
        <v>0</v>
      </c>
      <c r="AN30" s="38">
        <v>43922864</v>
      </c>
      <c r="AO30" s="38">
        <v>791918</v>
      </c>
      <c r="AP30" s="38">
        <v>37855</v>
      </c>
      <c r="AQ30" s="38">
        <v>0</v>
      </c>
      <c r="AR30" s="38">
        <v>21485525</v>
      </c>
      <c r="AS30" s="26">
        <v>123271722</v>
      </c>
      <c r="AT30" s="27">
        <v>240542662</v>
      </c>
      <c r="AU30" s="42">
        <v>208927089.57780936</v>
      </c>
      <c r="AV30" s="38"/>
      <c r="AW30" s="38"/>
      <c r="AX30" s="38">
        <v>20887356.992669664</v>
      </c>
      <c r="AY30" s="38">
        <v>0</v>
      </c>
      <c r="AZ30" s="38">
        <v>0</v>
      </c>
      <c r="BA30" s="27">
        <v>229814446.57047904</v>
      </c>
    </row>
    <row r="31" spans="1:53" ht="13.5" customHeight="1">
      <c r="A31" s="44" t="s">
        <v>74</v>
      </c>
      <c r="B31" s="15" t="s">
        <v>17</v>
      </c>
      <c r="C31" s="38">
        <v>1170064</v>
      </c>
      <c r="D31" s="38">
        <v>65479</v>
      </c>
      <c r="E31" s="38">
        <v>1831397</v>
      </c>
      <c r="F31" s="38">
        <v>1070524</v>
      </c>
      <c r="G31" s="38">
        <v>845742</v>
      </c>
      <c r="H31" s="38">
        <v>1187810</v>
      </c>
      <c r="I31" s="38">
        <v>4178057.7579749385</v>
      </c>
      <c r="J31" s="38">
        <v>8.2420250615096986</v>
      </c>
      <c r="K31" s="38">
        <v>684791</v>
      </c>
      <c r="L31" s="38">
        <v>1732784</v>
      </c>
      <c r="M31" s="38">
        <v>1829612</v>
      </c>
      <c r="N31" s="38">
        <v>2949714</v>
      </c>
      <c r="O31" s="38">
        <v>1708449</v>
      </c>
      <c r="P31" s="38">
        <v>2643984</v>
      </c>
      <c r="Q31" s="38">
        <v>3028415</v>
      </c>
      <c r="R31" s="38">
        <v>377441</v>
      </c>
      <c r="S31" s="38">
        <v>688620</v>
      </c>
      <c r="T31" s="38">
        <v>1513844</v>
      </c>
      <c r="U31" s="38">
        <v>716668</v>
      </c>
      <c r="V31" s="38">
        <v>4692734</v>
      </c>
      <c r="W31" s="38">
        <v>9394744</v>
      </c>
      <c r="X31" s="38">
        <v>2698034</v>
      </c>
      <c r="Y31" s="38">
        <v>3596568</v>
      </c>
      <c r="Z31" s="38">
        <v>2479141</v>
      </c>
      <c r="AA31" s="38">
        <v>42355592</v>
      </c>
      <c r="AB31" s="38">
        <v>21428865</v>
      </c>
      <c r="AC31" s="38">
        <v>3519114</v>
      </c>
      <c r="AD31" s="38">
        <v>1570014</v>
      </c>
      <c r="AE31" s="38">
        <v>4774938</v>
      </c>
      <c r="AF31" s="38">
        <v>3079717</v>
      </c>
      <c r="AG31" s="38">
        <v>4478359</v>
      </c>
      <c r="AH31" s="38">
        <v>1171943</v>
      </c>
      <c r="AI31" s="38">
        <v>1838555</v>
      </c>
      <c r="AJ31" s="38">
        <v>0</v>
      </c>
      <c r="AK31" s="26">
        <v>135301722</v>
      </c>
      <c r="AL31" s="38">
        <v>94642976</v>
      </c>
      <c r="AM31" s="38">
        <v>149222</v>
      </c>
      <c r="AN31" s="38">
        <v>0</v>
      </c>
      <c r="AO31" s="38">
        <v>0</v>
      </c>
      <c r="AP31" s="38">
        <v>0</v>
      </c>
      <c r="AQ31" s="38">
        <v>0</v>
      </c>
      <c r="AR31" s="38">
        <v>9183457</v>
      </c>
      <c r="AS31" s="26">
        <v>103975655</v>
      </c>
      <c r="AT31" s="27">
        <v>239277377</v>
      </c>
      <c r="AU31" s="42">
        <v>231869871.22433615</v>
      </c>
      <c r="AV31" s="38"/>
      <c r="AW31" s="38"/>
      <c r="AX31" s="38">
        <v>7533851.012057513</v>
      </c>
      <c r="AY31" s="38">
        <v>0</v>
      </c>
      <c r="AZ31" s="38">
        <v>0</v>
      </c>
      <c r="BA31" s="27">
        <v>239403722.23639366</v>
      </c>
    </row>
    <row r="32" spans="1:53" ht="13.5" customHeight="1">
      <c r="A32" s="44" t="s">
        <v>75</v>
      </c>
      <c r="B32" s="15" t="s">
        <v>76</v>
      </c>
      <c r="C32" s="38">
        <v>35782</v>
      </c>
      <c r="D32" s="38">
        <v>6525</v>
      </c>
      <c r="E32" s="38">
        <v>355125</v>
      </c>
      <c r="F32" s="38">
        <v>278962</v>
      </c>
      <c r="G32" s="38">
        <v>194301</v>
      </c>
      <c r="H32" s="38">
        <v>125920</v>
      </c>
      <c r="I32" s="38">
        <v>476380.07614957716</v>
      </c>
      <c r="J32" s="38">
        <v>0.92385042282568697</v>
      </c>
      <c r="K32" s="38">
        <v>68563</v>
      </c>
      <c r="L32" s="38">
        <v>208273</v>
      </c>
      <c r="M32" s="38">
        <v>211950</v>
      </c>
      <c r="N32" s="38">
        <v>350672</v>
      </c>
      <c r="O32" s="38">
        <v>334244</v>
      </c>
      <c r="P32" s="38">
        <v>210151</v>
      </c>
      <c r="Q32" s="38">
        <v>324469</v>
      </c>
      <c r="R32" s="38">
        <v>144474</v>
      </c>
      <c r="S32" s="38">
        <v>448306</v>
      </c>
      <c r="T32" s="38">
        <v>74004</v>
      </c>
      <c r="U32" s="38">
        <v>540288</v>
      </c>
      <c r="V32" s="38">
        <v>533213</v>
      </c>
      <c r="W32" s="38">
        <v>19558837</v>
      </c>
      <c r="X32" s="38">
        <v>1784815</v>
      </c>
      <c r="Y32" s="38">
        <v>10709339</v>
      </c>
      <c r="Z32" s="38">
        <v>2207460</v>
      </c>
      <c r="AA32" s="38">
        <v>3792337</v>
      </c>
      <c r="AB32" s="38">
        <v>7890746</v>
      </c>
      <c r="AC32" s="38">
        <v>9191886</v>
      </c>
      <c r="AD32" s="38">
        <v>2186463</v>
      </c>
      <c r="AE32" s="38">
        <v>1163421</v>
      </c>
      <c r="AF32" s="38">
        <v>3880427</v>
      </c>
      <c r="AG32" s="38">
        <v>4078970</v>
      </c>
      <c r="AH32" s="38">
        <v>633246</v>
      </c>
      <c r="AI32" s="38">
        <v>1824621</v>
      </c>
      <c r="AJ32" s="38">
        <v>3335</v>
      </c>
      <c r="AK32" s="26">
        <v>73827506</v>
      </c>
      <c r="AL32" s="38">
        <v>153308641</v>
      </c>
      <c r="AM32" s="38">
        <v>0</v>
      </c>
      <c r="AN32" s="38">
        <v>45947699</v>
      </c>
      <c r="AO32" s="38">
        <v>16733</v>
      </c>
      <c r="AP32" s="38">
        <v>0</v>
      </c>
      <c r="AQ32" s="38">
        <v>0</v>
      </c>
      <c r="AR32" s="38">
        <v>321254</v>
      </c>
      <c r="AS32" s="26">
        <v>199594327</v>
      </c>
      <c r="AT32" s="27">
        <v>273421833</v>
      </c>
      <c r="AU32" s="42">
        <v>263787476.08922297</v>
      </c>
      <c r="AV32" s="38"/>
      <c r="AW32" s="38"/>
      <c r="AX32" s="38">
        <v>1577876.2876953727</v>
      </c>
      <c r="AY32" s="38">
        <v>0</v>
      </c>
      <c r="AZ32" s="38">
        <v>0</v>
      </c>
      <c r="BA32" s="27">
        <v>265365352.37691835</v>
      </c>
    </row>
    <row r="33" spans="1:53" ht="13.5" customHeight="1">
      <c r="A33" s="44" t="s">
        <v>77</v>
      </c>
      <c r="B33" s="15" t="s">
        <v>43</v>
      </c>
      <c r="C33" s="38">
        <v>1230473</v>
      </c>
      <c r="D33" s="38">
        <v>257566</v>
      </c>
      <c r="E33" s="38">
        <v>9618973</v>
      </c>
      <c r="F33" s="38">
        <v>1881685</v>
      </c>
      <c r="G33" s="38">
        <v>1682908</v>
      </c>
      <c r="H33" s="38">
        <v>3511875</v>
      </c>
      <c r="I33" s="38">
        <v>18948019.070464</v>
      </c>
      <c r="J33" s="38">
        <v>33.929535998560318</v>
      </c>
      <c r="K33" s="38">
        <v>2179447</v>
      </c>
      <c r="L33" s="38">
        <v>7371240</v>
      </c>
      <c r="M33" s="38">
        <v>4295878</v>
      </c>
      <c r="N33" s="38">
        <v>11626563</v>
      </c>
      <c r="O33" s="38">
        <v>6823690</v>
      </c>
      <c r="P33" s="38">
        <v>7505694</v>
      </c>
      <c r="Q33" s="38">
        <v>12591254</v>
      </c>
      <c r="R33" s="38">
        <v>1360367</v>
      </c>
      <c r="S33" s="38">
        <v>3805291</v>
      </c>
      <c r="T33" s="38">
        <v>2280424</v>
      </c>
      <c r="U33" s="38">
        <v>2936927</v>
      </c>
      <c r="V33" s="38">
        <v>28622476</v>
      </c>
      <c r="W33" s="38">
        <v>22823766</v>
      </c>
      <c r="X33" s="38">
        <v>7912817</v>
      </c>
      <c r="Y33" s="38">
        <v>5094884</v>
      </c>
      <c r="Z33" s="38">
        <v>14986875</v>
      </c>
      <c r="AA33" s="38">
        <v>6840647</v>
      </c>
      <c r="AB33" s="38">
        <v>4227609</v>
      </c>
      <c r="AC33" s="38">
        <v>24810456</v>
      </c>
      <c r="AD33" s="38">
        <v>6999656</v>
      </c>
      <c r="AE33" s="38">
        <v>3481462</v>
      </c>
      <c r="AF33" s="38">
        <v>4600680</v>
      </c>
      <c r="AG33" s="38">
        <v>1629722</v>
      </c>
      <c r="AH33" s="38">
        <v>1508855</v>
      </c>
      <c r="AI33" s="38">
        <v>2418433</v>
      </c>
      <c r="AJ33" s="38">
        <v>7349</v>
      </c>
      <c r="AK33" s="26">
        <v>235873995</v>
      </c>
      <c r="AL33" s="38">
        <v>6460233</v>
      </c>
      <c r="AM33" s="38">
        <v>0</v>
      </c>
      <c r="AN33" s="38">
        <v>104012843</v>
      </c>
      <c r="AO33" s="38">
        <v>15365704</v>
      </c>
      <c r="AP33" s="38">
        <v>0</v>
      </c>
      <c r="AQ33" s="38">
        <v>0</v>
      </c>
      <c r="AR33" s="38">
        <v>31221303</v>
      </c>
      <c r="AS33" s="26">
        <v>157060083</v>
      </c>
      <c r="AT33" s="27">
        <v>392934078</v>
      </c>
      <c r="AU33" s="42">
        <v>324021261.30544049</v>
      </c>
      <c r="AV33" s="38"/>
      <c r="AW33" s="38"/>
      <c r="AX33" s="38">
        <v>30925715.899788037</v>
      </c>
      <c r="AY33" s="38">
        <v>0</v>
      </c>
      <c r="AZ33" s="38">
        <v>0</v>
      </c>
      <c r="BA33" s="27">
        <v>354946977.20522851</v>
      </c>
    </row>
    <row r="34" spans="1:53" ht="13.5" customHeight="1">
      <c r="A34" s="44" t="s">
        <v>78</v>
      </c>
      <c r="B34" s="15" t="s">
        <v>18</v>
      </c>
      <c r="C34" s="38">
        <v>232607</v>
      </c>
      <c r="D34" s="38">
        <v>256192</v>
      </c>
      <c r="E34" s="38">
        <v>888725</v>
      </c>
      <c r="F34" s="38">
        <v>524167</v>
      </c>
      <c r="G34" s="38">
        <v>659457</v>
      </c>
      <c r="H34" s="38">
        <v>811324</v>
      </c>
      <c r="I34" s="38">
        <v>1947728.7934108675</v>
      </c>
      <c r="J34" s="38">
        <v>3.2065891325232885</v>
      </c>
      <c r="K34" s="38">
        <v>341697</v>
      </c>
      <c r="L34" s="38">
        <v>2356312</v>
      </c>
      <c r="M34" s="38">
        <v>1409721</v>
      </c>
      <c r="N34" s="38">
        <v>2786694</v>
      </c>
      <c r="O34" s="38">
        <v>1013169</v>
      </c>
      <c r="P34" s="38">
        <v>895704</v>
      </c>
      <c r="Q34" s="38">
        <v>4645446</v>
      </c>
      <c r="R34" s="38">
        <v>216223</v>
      </c>
      <c r="S34" s="38">
        <v>4217670</v>
      </c>
      <c r="T34" s="38">
        <v>1358339</v>
      </c>
      <c r="U34" s="38">
        <v>1595665</v>
      </c>
      <c r="V34" s="38">
        <v>9747820</v>
      </c>
      <c r="W34" s="38">
        <v>13062215</v>
      </c>
      <c r="X34" s="38">
        <v>12267348</v>
      </c>
      <c r="Y34" s="38">
        <v>1916900</v>
      </c>
      <c r="Z34" s="38">
        <v>9694849</v>
      </c>
      <c r="AA34" s="38">
        <v>9964464</v>
      </c>
      <c r="AB34" s="38">
        <v>12003595</v>
      </c>
      <c r="AC34" s="38">
        <v>17187438</v>
      </c>
      <c r="AD34" s="38">
        <v>12801755</v>
      </c>
      <c r="AE34" s="38">
        <v>5960451</v>
      </c>
      <c r="AF34" s="38">
        <v>3886241</v>
      </c>
      <c r="AG34" s="38">
        <v>3157354</v>
      </c>
      <c r="AH34" s="38">
        <v>3473401</v>
      </c>
      <c r="AI34" s="38">
        <v>928798</v>
      </c>
      <c r="AJ34" s="38">
        <v>5248</v>
      </c>
      <c r="AK34" s="26">
        <v>142214721</v>
      </c>
      <c r="AL34" s="38">
        <v>8531599</v>
      </c>
      <c r="AM34" s="38">
        <v>0</v>
      </c>
      <c r="AN34" s="38">
        <v>0</v>
      </c>
      <c r="AO34" s="38">
        <v>0</v>
      </c>
      <c r="AP34" s="38">
        <v>0</v>
      </c>
      <c r="AQ34" s="38">
        <v>0</v>
      </c>
      <c r="AR34" s="38">
        <v>15690205</v>
      </c>
      <c r="AS34" s="26">
        <v>24221804</v>
      </c>
      <c r="AT34" s="27">
        <v>166436525</v>
      </c>
      <c r="AU34" s="42">
        <v>131386703.33317496</v>
      </c>
      <c r="AV34" s="38"/>
      <c r="AW34" s="38"/>
      <c r="AX34" s="38">
        <v>18401716.407392319</v>
      </c>
      <c r="AY34" s="38">
        <v>0</v>
      </c>
      <c r="AZ34" s="38">
        <v>0</v>
      </c>
      <c r="BA34" s="27">
        <v>149788419.74056727</v>
      </c>
    </row>
    <row r="35" spans="1:53" ht="13.5" customHeight="1">
      <c r="A35" s="44" t="s">
        <v>79</v>
      </c>
      <c r="B35" s="15" t="s">
        <v>80</v>
      </c>
      <c r="C35" s="38">
        <v>109126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658474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4326091</v>
      </c>
      <c r="AK35" s="26">
        <v>5093691</v>
      </c>
      <c r="AL35" s="38">
        <v>4098405</v>
      </c>
      <c r="AM35" s="38">
        <v>193826946</v>
      </c>
      <c r="AN35" s="38">
        <v>0</v>
      </c>
      <c r="AO35" s="38">
        <v>0</v>
      </c>
      <c r="AP35" s="38">
        <v>0</v>
      </c>
      <c r="AQ35" s="38">
        <v>0</v>
      </c>
      <c r="AR35" s="38">
        <v>34003</v>
      </c>
      <c r="AS35" s="26">
        <v>197959354</v>
      </c>
      <c r="AT35" s="27">
        <v>203053045</v>
      </c>
      <c r="AU35" s="42">
        <v>183643356.60740322</v>
      </c>
      <c r="AV35" s="38"/>
      <c r="AW35" s="38"/>
      <c r="AX35" s="38">
        <v>408206.9847549916</v>
      </c>
      <c r="AY35" s="38">
        <v>0</v>
      </c>
      <c r="AZ35" s="38">
        <v>0</v>
      </c>
      <c r="BA35" s="27">
        <v>184051563.5921582</v>
      </c>
    </row>
    <row r="36" spans="1:53" ht="13.5" customHeight="1">
      <c r="A36" s="44" t="s">
        <v>81</v>
      </c>
      <c r="B36" s="15" t="s">
        <v>19</v>
      </c>
      <c r="C36" s="38">
        <v>3254</v>
      </c>
      <c r="D36" s="38">
        <v>1120</v>
      </c>
      <c r="E36" s="38">
        <v>41844</v>
      </c>
      <c r="F36" s="38">
        <v>10830</v>
      </c>
      <c r="G36" s="38">
        <v>22754</v>
      </c>
      <c r="H36" s="38">
        <v>31935</v>
      </c>
      <c r="I36" s="38">
        <v>135395.72764472605</v>
      </c>
      <c r="J36" s="38">
        <v>0.27235527395391201</v>
      </c>
      <c r="K36" s="38">
        <v>20017</v>
      </c>
      <c r="L36" s="38">
        <v>81546</v>
      </c>
      <c r="M36" s="38">
        <v>107012</v>
      </c>
      <c r="N36" s="38">
        <v>83896</v>
      </c>
      <c r="O36" s="38">
        <v>77682</v>
      </c>
      <c r="P36" s="38">
        <v>102937</v>
      </c>
      <c r="Q36" s="38">
        <v>65511</v>
      </c>
      <c r="R36" s="38">
        <v>4493</v>
      </c>
      <c r="S36" s="38">
        <v>252388</v>
      </c>
      <c r="T36" s="38">
        <v>25845</v>
      </c>
      <c r="U36" s="38">
        <v>25311</v>
      </c>
      <c r="V36" s="38">
        <v>73874</v>
      </c>
      <c r="W36" s="38">
        <v>864077</v>
      </c>
      <c r="X36" s="38">
        <v>69496</v>
      </c>
      <c r="Y36" s="38">
        <v>93517</v>
      </c>
      <c r="Z36" s="38">
        <v>149972</v>
      </c>
      <c r="AA36" s="38">
        <v>339905</v>
      </c>
      <c r="AB36" s="38">
        <v>184460</v>
      </c>
      <c r="AC36" s="38">
        <v>421279</v>
      </c>
      <c r="AD36" s="38">
        <v>83397</v>
      </c>
      <c r="AE36" s="38">
        <v>15198</v>
      </c>
      <c r="AF36" s="38">
        <v>76153</v>
      </c>
      <c r="AG36" s="38">
        <v>24040</v>
      </c>
      <c r="AH36" s="38">
        <v>21001</v>
      </c>
      <c r="AI36" s="38">
        <v>93883</v>
      </c>
      <c r="AJ36" s="38">
        <v>676</v>
      </c>
      <c r="AK36" s="26">
        <v>3604699</v>
      </c>
      <c r="AL36" s="38">
        <v>63476835</v>
      </c>
      <c r="AM36" s="38">
        <v>89090202</v>
      </c>
      <c r="AN36" s="38">
        <v>0</v>
      </c>
      <c r="AO36" s="38">
        <v>0</v>
      </c>
      <c r="AP36" s="38">
        <v>0</v>
      </c>
      <c r="AQ36" s="38">
        <v>0</v>
      </c>
      <c r="AR36" s="38">
        <v>319935</v>
      </c>
      <c r="AS36" s="26">
        <v>152886972</v>
      </c>
      <c r="AT36" s="27">
        <v>156491671</v>
      </c>
      <c r="AU36" s="42">
        <v>144132517.54136884</v>
      </c>
      <c r="AV36" s="38"/>
      <c r="AW36" s="38"/>
      <c r="AX36" s="38">
        <v>1613375.3315441522</v>
      </c>
      <c r="AY36" s="38">
        <v>0</v>
      </c>
      <c r="AZ36" s="38">
        <v>0</v>
      </c>
      <c r="BA36" s="27">
        <v>145745892.872913</v>
      </c>
    </row>
    <row r="37" spans="1:53" ht="13.5" customHeight="1">
      <c r="A37" s="44" t="s">
        <v>82</v>
      </c>
      <c r="B37" s="15" t="s">
        <v>83</v>
      </c>
      <c r="C37" s="38">
        <v>84351</v>
      </c>
      <c r="D37" s="38">
        <v>14497</v>
      </c>
      <c r="E37" s="38">
        <v>128422</v>
      </c>
      <c r="F37" s="38">
        <v>54243</v>
      </c>
      <c r="G37" s="38">
        <v>69491</v>
      </c>
      <c r="H37" s="38">
        <v>32427</v>
      </c>
      <c r="I37" s="38">
        <v>217064.56313469395</v>
      </c>
      <c r="J37" s="38">
        <v>0.43686530604696766</v>
      </c>
      <c r="K37" s="38">
        <v>42381</v>
      </c>
      <c r="L37" s="38">
        <v>112512</v>
      </c>
      <c r="M37" s="38">
        <v>173400</v>
      </c>
      <c r="N37" s="38">
        <v>151296</v>
      </c>
      <c r="O37" s="38">
        <v>118630</v>
      </c>
      <c r="P37" s="38">
        <v>214771</v>
      </c>
      <c r="Q37" s="38">
        <v>276179</v>
      </c>
      <c r="R37" s="38">
        <v>30648</v>
      </c>
      <c r="S37" s="38">
        <v>207648</v>
      </c>
      <c r="T37" s="38">
        <v>36827</v>
      </c>
      <c r="U37" s="38">
        <v>141683</v>
      </c>
      <c r="V37" s="38">
        <v>396109</v>
      </c>
      <c r="W37" s="38">
        <v>1295505</v>
      </c>
      <c r="X37" s="38">
        <v>149288</v>
      </c>
      <c r="Y37" s="38">
        <v>490823</v>
      </c>
      <c r="Z37" s="38">
        <v>305107</v>
      </c>
      <c r="AA37" s="38">
        <v>427331</v>
      </c>
      <c r="AB37" s="38">
        <v>224359</v>
      </c>
      <c r="AC37" s="38">
        <v>779138</v>
      </c>
      <c r="AD37" s="38">
        <v>272949</v>
      </c>
      <c r="AE37" s="38">
        <v>74029</v>
      </c>
      <c r="AF37" s="38">
        <v>294134</v>
      </c>
      <c r="AG37" s="38">
        <v>548317</v>
      </c>
      <c r="AH37" s="38">
        <v>203582</v>
      </c>
      <c r="AI37" s="38">
        <v>166511</v>
      </c>
      <c r="AJ37" s="38">
        <v>853</v>
      </c>
      <c r="AK37" s="26">
        <v>7734506</v>
      </c>
      <c r="AL37" s="38">
        <v>74155571</v>
      </c>
      <c r="AM37" s="38">
        <v>136924224</v>
      </c>
      <c r="AN37" s="38">
        <v>0</v>
      </c>
      <c r="AO37" s="38">
        <v>0</v>
      </c>
      <c r="AP37" s="38">
        <v>0</v>
      </c>
      <c r="AQ37" s="38">
        <v>0</v>
      </c>
      <c r="AR37" s="38">
        <v>766926</v>
      </c>
      <c r="AS37" s="26">
        <v>211846721</v>
      </c>
      <c r="AT37" s="27">
        <v>219581227</v>
      </c>
      <c r="AU37" s="42">
        <v>210646420.4366267</v>
      </c>
      <c r="AV37" s="38"/>
      <c r="AW37" s="38"/>
      <c r="AX37" s="38">
        <v>335666.6778088737</v>
      </c>
      <c r="AY37" s="38">
        <v>0</v>
      </c>
      <c r="AZ37" s="38">
        <v>0</v>
      </c>
      <c r="BA37" s="27">
        <v>210982087.11443558</v>
      </c>
    </row>
    <row r="38" spans="1:53" ht="13.5" customHeight="1">
      <c r="A38" s="44" t="s">
        <v>84</v>
      </c>
      <c r="B38" s="15" t="s">
        <v>85</v>
      </c>
      <c r="C38" s="38">
        <v>65624</v>
      </c>
      <c r="D38" s="38">
        <v>36520</v>
      </c>
      <c r="E38" s="38">
        <v>133790</v>
      </c>
      <c r="F38" s="38">
        <v>96597</v>
      </c>
      <c r="G38" s="38">
        <v>97174</v>
      </c>
      <c r="H38" s="38">
        <v>65952</v>
      </c>
      <c r="I38" s="38">
        <v>329183.34044840804</v>
      </c>
      <c r="J38" s="38">
        <v>0.65955159196534607</v>
      </c>
      <c r="K38" s="38">
        <v>64236</v>
      </c>
      <c r="L38" s="38">
        <v>260337</v>
      </c>
      <c r="M38" s="38">
        <v>250041</v>
      </c>
      <c r="N38" s="38">
        <v>128017</v>
      </c>
      <c r="O38" s="38">
        <v>127452</v>
      </c>
      <c r="P38" s="38">
        <v>225010</v>
      </c>
      <c r="Q38" s="38">
        <v>112948</v>
      </c>
      <c r="R38" s="38">
        <v>33023</v>
      </c>
      <c r="S38" s="38">
        <v>270400</v>
      </c>
      <c r="T38" s="38">
        <v>55450</v>
      </c>
      <c r="U38" s="38">
        <v>123625</v>
      </c>
      <c r="V38" s="38">
        <v>262368</v>
      </c>
      <c r="W38" s="38">
        <v>388876</v>
      </c>
      <c r="X38" s="38">
        <v>637782</v>
      </c>
      <c r="Y38" s="38">
        <v>136211</v>
      </c>
      <c r="Z38" s="38">
        <v>2065257</v>
      </c>
      <c r="AA38" s="38">
        <v>623398</v>
      </c>
      <c r="AB38" s="38">
        <v>269687</v>
      </c>
      <c r="AC38" s="38">
        <v>1931388</v>
      </c>
      <c r="AD38" s="38">
        <v>535378</v>
      </c>
      <c r="AE38" s="38">
        <v>166633</v>
      </c>
      <c r="AF38" s="38">
        <v>1103277</v>
      </c>
      <c r="AG38" s="38">
        <v>340119</v>
      </c>
      <c r="AH38" s="38">
        <v>2691433</v>
      </c>
      <c r="AI38" s="38">
        <v>369181</v>
      </c>
      <c r="AJ38" s="38">
        <v>1604</v>
      </c>
      <c r="AK38" s="26">
        <v>13997972</v>
      </c>
      <c r="AL38" s="38">
        <v>46878460</v>
      </c>
      <c r="AM38" s="38">
        <v>4781313</v>
      </c>
      <c r="AN38" s="38">
        <v>1094342</v>
      </c>
      <c r="AO38" s="38">
        <v>0</v>
      </c>
      <c r="AP38" s="38">
        <v>0</v>
      </c>
      <c r="AQ38" s="38">
        <v>1272</v>
      </c>
      <c r="AR38" s="38">
        <v>2880068</v>
      </c>
      <c r="AS38" s="26">
        <v>55635455</v>
      </c>
      <c r="AT38" s="27">
        <v>69633427</v>
      </c>
      <c r="AU38" s="42">
        <v>58572636.430381164</v>
      </c>
      <c r="AV38" s="38"/>
      <c r="AW38" s="38"/>
      <c r="AX38" s="38">
        <v>3861562.4349973612</v>
      </c>
      <c r="AY38" s="38">
        <v>0</v>
      </c>
      <c r="AZ38" s="38">
        <v>0</v>
      </c>
      <c r="BA38" s="27">
        <v>62434198.865378529</v>
      </c>
    </row>
    <row r="39" spans="1:53" ht="13.5" customHeight="1">
      <c r="A39" s="44" t="s">
        <v>86</v>
      </c>
      <c r="B39" s="15" t="s">
        <v>87</v>
      </c>
      <c r="C39" s="38">
        <v>99840</v>
      </c>
      <c r="D39" s="38">
        <v>31140</v>
      </c>
      <c r="E39" s="38">
        <v>298331</v>
      </c>
      <c r="F39" s="38">
        <v>102590</v>
      </c>
      <c r="G39" s="38">
        <v>112019</v>
      </c>
      <c r="H39" s="38">
        <v>149736</v>
      </c>
      <c r="I39" s="38">
        <v>383962.30497832235</v>
      </c>
      <c r="J39" s="38">
        <v>0.69502167767134082</v>
      </c>
      <c r="K39" s="38">
        <v>138133</v>
      </c>
      <c r="L39" s="38">
        <v>363796</v>
      </c>
      <c r="M39" s="38">
        <v>358040</v>
      </c>
      <c r="N39" s="38">
        <v>430903</v>
      </c>
      <c r="O39" s="38">
        <v>295152</v>
      </c>
      <c r="P39" s="38">
        <v>412933</v>
      </c>
      <c r="Q39" s="38">
        <v>351127</v>
      </c>
      <c r="R39" s="38">
        <v>37455</v>
      </c>
      <c r="S39" s="38">
        <v>625262</v>
      </c>
      <c r="T39" s="38">
        <v>66845</v>
      </c>
      <c r="U39" s="38">
        <v>363837</v>
      </c>
      <c r="V39" s="38">
        <v>595101</v>
      </c>
      <c r="W39" s="38">
        <v>3558930</v>
      </c>
      <c r="X39" s="38">
        <v>3307975</v>
      </c>
      <c r="Y39" s="38">
        <v>647051</v>
      </c>
      <c r="Z39" s="38">
        <v>731847</v>
      </c>
      <c r="AA39" s="38">
        <v>931008</v>
      </c>
      <c r="AB39" s="38">
        <v>440411</v>
      </c>
      <c r="AC39" s="38">
        <v>2658213</v>
      </c>
      <c r="AD39" s="38">
        <v>1459730</v>
      </c>
      <c r="AE39" s="38">
        <v>355554</v>
      </c>
      <c r="AF39" s="38">
        <v>1314276</v>
      </c>
      <c r="AG39" s="38">
        <v>438915</v>
      </c>
      <c r="AH39" s="38">
        <v>521658</v>
      </c>
      <c r="AI39" s="38">
        <v>630784</v>
      </c>
      <c r="AJ39" s="38">
        <v>843</v>
      </c>
      <c r="AK39" s="26">
        <v>22213398</v>
      </c>
      <c r="AL39" s="38">
        <v>59295383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38">
        <v>1747533</v>
      </c>
      <c r="AS39" s="26">
        <v>61042916</v>
      </c>
      <c r="AT39" s="27">
        <v>83256314</v>
      </c>
      <c r="AU39" s="42">
        <v>71595126.980688363</v>
      </c>
      <c r="AV39" s="38"/>
      <c r="AW39" s="38"/>
      <c r="AX39" s="38">
        <v>1237162.3109540045</v>
      </c>
      <c r="AY39" s="38">
        <v>0</v>
      </c>
      <c r="AZ39" s="38">
        <v>0</v>
      </c>
      <c r="BA39" s="27">
        <v>72832289.291642368</v>
      </c>
    </row>
    <row r="40" spans="1:53" ht="13.5" customHeight="1">
      <c r="A40" s="44" t="s">
        <v>88</v>
      </c>
      <c r="B40" s="15" t="s">
        <v>89</v>
      </c>
      <c r="C40" s="38">
        <v>269414</v>
      </c>
      <c r="D40" s="38">
        <v>15963</v>
      </c>
      <c r="E40" s="38">
        <v>83286</v>
      </c>
      <c r="F40" s="38">
        <v>18483</v>
      </c>
      <c r="G40" s="38">
        <v>75392</v>
      </c>
      <c r="H40" s="38">
        <v>137738</v>
      </c>
      <c r="I40" s="38">
        <v>792650.40470753657</v>
      </c>
      <c r="J40" s="38">
        <v>1.5952924634037782</v>
      </c>
      <c r="K40" s="38">
        <v>23147</v>
      </c>
      <c r="L40" s="38">
        <v>42575</v>
      </c>
      <c r="M40" s="38">
        <v>131618</v>
      </c>
      <c r="N40" s="38">
        <v>63701</v>
      </c>
      <c r="O40" s="38">
        <v>54728</v>
      </c>
      <c r="P40" s="38">
        <v>91336</v>
      </c>
      <c r="Q40" s="38">
        <v>23958</v>
      </c>
      <c r="R40" s="38">
        <v>18948</v>
      </c>
      <c r="S40" s="38">
        <v>433554</v>
      </c>
      <c r="T40" s="38">
        <v>142445</v>
      </c>
      <c r="U40" s="38">
        <v>40948</v>
      </c>
      <c r="V40" s="38">
        <v>32265</v>
      </c>
      <c r="W40" s="38">
        <v>492128</v>
      </c>
      <c r="X40" s="38">
        <v>55217</v>
      </c>
      <c r="Y40" s="38">
        <v>250478</v>
      </c>
      <c r="Z40" s="38">
        <v>428335</v>
      </c>
      <c r="AA40" s="38">
        <v>58639</v>
      </c>
      <c r="AB40" s="38">
        <v>537173</v>
      </c>
      <c r="AC40" s="38">
        <v>239556</v>
      </c>
      <c r="AD40" s="38">
        <v>179839</v>
      </c>
      <c r="AE40" s="38">
        <v>45902</v>
      </c>
      <c r="AF40" s="38">
        <v>36693</v>
      </c>
      <c r="AG40" s="38">
        <v>373801</v>
      </c>
      <c r="AH40" s="38">
        <v>101652</v>
      </c>
      <c r="AI40" s="38">
        <v>54194</v>
      </c>
      <c r="AJ40" s="38">
        <v>109679</v>
      </c>
      <c r="AK40" s="26">
        <v>5455437</v>
      </c>
      <c r="AL40" s="38">
        <v>-435478</v>
      </c>
      <c r="AM40" s="38">
        <v>0</v>
      </c>
      <c r="AN40" s="38">
        <v>0</v>
      </c>
      <c r="AO40" s="38">
        <v>0</v>
      </c>
      <c r="AP40" s="38">
        <v>0</v>
      </c>
      <c r="AQ40" s="38">
        <v>0</v>
      </c>
      <c r="AR40" s="38">
        <v>0</v>
      </c>
      <c r="AS40" s="26">
        <v>-435478</v>
      </c>
      <c r="AT40" s="27">
        <v>5019959</v>
      </c>
      <c r="AU40" s="42">
        <v>4286533.1739390315</v>
      </c>
      <c r="AV40" s="38"/>
      <c r="AW40" s="38"/>
      <c r="AX40" s="38">
        <v>0</v>
      </c>
      <c r="AY40" s="38">
        <v>0</v>
      </c>
      <c r="AZ40" s="38">
        <v>0</v>
      </c>
      <c r="BA40" s="27">
        <v>4286533.1739390315</v>
      </c>
    </row>
    <row r="41" spans="1:53" ht="13.5" customHeight="1">
      <c r="A41" s="46" t="s">
        <v>91</v>
      </c>
      <c r="B41" s="16" t="s">
        <v>20</v>
      </c>
      <c r="C41" s="40">
        <v>39166528</v>
      </c>
      <c r="D41" s="40">
        <v>3169491</v>
      </c>
      <c r="E41" s="40">
        <v>139457033</v>
      </c>
      <c r="F41" s="40">
        <v>57298913</v>
      </c>
      <c r="G41" s="40">
        <v>39700938</v>
      </c>
      <c r="H41" s="40">
        <v>143573392</v>
      </c>
      <c r="I41" s="40">
        <v>285565161</v>
      </c>
      <c r="J41" s="40">
        <v>650.00000000080479</v>
      </c>
      <c r="K41" s="40">
        <v>37404675</v>
      </c>
      <c r="L41" s="40">
        <v>154477519</v>
      </c>
      <c r="M41" s="40">
        <v>92011168</v>
      </c>
      <c r="N41" s="40">
        <v>221737214</v>
      </c>
      <c r="O41" s="40">
        <v>135088695</v>
      </c>
      <c r="P41" s="40">
        <v>138660261</v>
      </c>
      <c r="Q41" s="40">
        <v>269883451</v>
      </c>
      <c r="R41" s="40">
        <v>21105797</v>
      </c>
      <c r="S41" s="40">
        <v>51124252</v>
      </c>
      <c r="T41" s="40">
        <v>120649253</v>
      </c>
      <c r="U41" s="40">
        <v>23032194</v>
      </c>
      <c r="V41" s="40">
        <v>199251516</v>
      </c>
      <c r="W41" s="40">
        <v>184102011</v>
      </c>
      <c r="X41" s="40">
        <v>125178243</v>
      </c>
      <c r="Y41" s="40">
        <v>150662761</v>
      </c>
      <c r="Z41" s="40">
        <v>104063290</v>
      </c>
      <c r="AA41" s="40">
        <v>86678547</v>
      </c>
      <c r="AB41" s="40">
        <v>81055631</v>
      </c>
      <c r="AC41" s="40">
        <v>170997641</v>
      </c>
      <c r="AD41" s="40">
        <v>56091961</v>
      </c>
      <c r="AE41" s="40">
        <v>52243921</v>
      </c>
      <c r="AF41" s="40">
        <v>51016928</v>
      </c>
      <c r="AG41" s="40">
        <v>90583511</v>
      </c>
      <c r="AH41" s="40">
        <v>28521048</v>
      </c>
      <c r="AI41" s="40">
        <v>44847605</v>
      </c>
      <c r="AJ41" s="40">
        <v>5019959</v>
      </c>
      <c r="AK41" s="40">
        <v>3403421158</v>
      </c>
      <c r="AL41" s="40">
        <v>1203106723</v>
      </c>
      <c r="AM41" s="40">
        <v>428148599</v>
      </c>
      <c r="AN41" s="40">
        <v>642719412</v>
      </c>
      <c r="AO41" s="40">
        <v>114740934</v>
      </c>
      <c r="AP41" s="40">
        <v>8456630</v>
      </c>
      <c r="AQ41" s="40">
        <v>2242835</v>
      </c>
      <c r="AR41" s="40">
        <v>999815735</v>
      </c>
      <c r="AS41" s="40">
        <v>3399230868</v>
      </c>
      <c r="AT41" s="40">
        <v>6802652026</v>
      </c>
      <c r="AU41" s="40">
        <v>5071331682.1743765</v>
      </c>
      <c r="AV41" s="40">
        <v>0</v>
      </c>
      <c r="AW41" s="40">
        <v>0</v>
      </c>
      <c r="AX41" s="40">
        <v>782417727.45609617</v>
      </c>
      <c r="AY41" s="40">
        <v>0</v>
      </c>
      <c r="AZ41" s="40">
        <v>0</v>
      </c>
      <c r="BA41" s="40">
        <v>5853749409.630475</v>
      </c>
    </row>
    <row r="42" spans="1:53" ht="13.5" customHeight="1">
      <c r="A42" s="47" t="s">
        <v>92</v>
      </c>
      <c r="B42" s="1" t="s">
        <v>21</v>
      </c>
      <c r="C42" s="38">
        <v>7311007</v>
      </c>
      <c r="D42" s="38">
        <v>763130</v>
      </c>
      <c r="E42" s="38">
        <v>15128140</v>
      </c>
      <c r="F42" s="38">
        <v>6942083</v>
      </c>
      <c r="G42" s="38">
        <v>7714470</v>
      </c>
      <c r="H42" s="38">
        <v>1849380</v>
      </c>
      <c r="I42" s="38">
        <v>33024739</v>
      </c>
      <c r="J42" s="38">
        <v>200</v>
      </c>
      <c r="K42" s="38">
        <v>5591739</v>
      </c>
      <c r="L42" s="38">
        <v>12874780</v>
      </c>
      <c r="M42" s="38">
        <v>22094377</v>
      </c>
      <c r="N42" s="38">
        <v>38330264</v>
      </c>
      <c r="O42" s="38">
        <v>18684449</v>
      </c>
      <c r="P42" s="38">
        <v>28417504</v>
      </c>
      <c r="Q42" s="38">
        <v>24629085</v>
      </c>
      <c r="R42" s="38">
        <v>4430442</v>
      </c>
      <c r="S42" s="38">
        <v>30392667</v>
      </c>
      <c r="T42" s="38">
        <v>7229124</v>
      </c>
      <c r="U42" s="38">
        <v>9301644</v>
      </c>
      <c r="V42" s="38">
        <v>108270135</v>
      </c>
      <c r="W42" s="38">
        <v>105848898</v>
      </c>
      <c r="X42" s="38">
        <v>45972783</v>
      </c>
      <c r="Y42" s="38">
        <v>37217436</v>
      </c>
      <c r="Z42" s="38">
        <v>48448668</v>
      </c>
      <c r="AA42" s="38">
        <v>52077047</v>
      </c>
      <c r="AB42" s="38">
        <v>23572589</v>
      </c>
      <c r="AC42" s="38">
        <v>119508944</v>
      </c>
      <c r="AD42" s="38">
        <v>53019085</v>
      </c>
      <c r="AE42" s="38">
        <v>89879718</v>
      </c>
      <c r="AF42" s="38">
        <v>84723533</v>
      </c>
      <c r="AG42" s="38">
        <v>91542475</v>
      </c>
      <c r="AH42" s="38">
        <v>14325783</v>
      </c>
      <c r="AI42" s="38">
        <v>21260262</v>
      </c>
      <c r="AJ42" s="38">
        <v>0</v>
      </c>
      <c r="AK42" s="26">
        <v>1170376580</v>
      </c>
      <c r="AL42" s="29"/>
      <c r="AM42" s="29"/>
      <c r="AN42" s="29"/>
      <c r="AO42" s="29"/>
      <c r="AP42" s="29"/>
      <c r="AQ42" s="29"/>
      <c r="AR42" s="29"/>
      <c r="AS42" s="29"/>
      <c r="AT42" s="29"/>
      <c r="AU42" s="30"/>
      <c r="AV42" s="30"/>
      <c r="AW42" s="30"/>
      <c r="AX42" s="30"/>
      <c r="AY42" s="30"/>
      <c r="AZ42" s="30"/>
      <c r="BA42" s="30"/>
    </row>
    <row r="43" spans="1:53" ht="13.5" customHeight="1">
      <c r="A43" s="47" t="s">
        <v>93</v>
      </c>
      <c r="B43" s="1" t="s">
        <v>22</v>
      </c>
      <c r="C43" s="38">
        <v>20790625</v>
      </c>
      <c r="D43" s="38">
        <v>907945</v>
      </c>
      <c r="E43" s="38">
        <v>6246706</v>
      </c>
      <c r="F43" s="38">
        <v>1230526</v>
      </c>
      <c r="G43" s="38">
        <v>5894202</v>
      </c>
      <c r="H43" s="38">
        <v>10160438</v>
      </c>
      <c r="I43" s="38">
        <v>26725352</v>
      </c>
      <c r="J43" s="38">
        <v>100</v>
      </c>
      <c r="K43" s="38">
        <v>2061144</v>
      </c>
      <c r="L43" s="38">
        <v>12662963</v>
      </c>
      <c r="M43" s="38">
        <v>15468441</v>
      </c>
      <c r="N43" s="38">
        <v>-2691522</v>
      </c>
      <c r="O43" s="38">
        <v>509104</v>
      </c>
      <c r="P43" s="38">
        <v>5170759</v>
      </c>
      <c r="Q43" s="38">
        <v>8332412</v>
      </c>
      <c r="R43" s="38">
        <v>1502834</v>
      </c>
      <c r="S43" s="38">
        <v>4585557</v>
      </c>
      <c r="T43" s="38">
        <v>-117531</v>
      </c>
      <c r="U43" s="38">
        <v>4067693</v>
      </c>
      <c r="V43" s="38">
        <v>6664903</v>
      </c>
      <c r="W43" s="38">
        <v>71028220</v>
      </c>
      <c r="X43" s="38">
        <v>16697450</v>
      </c>
      <c r="Y43" s="38">
        <v>17852378</v>
      </c>
      <c r="Z43" s="38">
        <v>24101295</v>
      </c>
      <c r="AA43" s="38">
        <v>68918948</v>
      </c>
      <c r="AB43" s="38">
        <v>64506524</v>
      </c>
      <c r="AC43" s="38">
        <v>32838525</v>
      </c>
      <c r="AD43" s="38">
        <v>24595921</v>
      </c>
      <c r="AE43" s="38">
        <v>0</v>
      </c>
      <c r="AF43" s="38">
        <v>5753379</v>
      </c>
      <c r="AG43" s="38">
        <v>22888082</v>
      </c>
      <c r="AH43" s="38">
        <v>8967271</v>
      </c>
      <c r="AI43" s="38">
        <v>7606932</v>
      </c>
      <c r="AJ43" s="38">
        <v>0</v>
      </c>
      <c r="AK43" s="26">
        <v>495927576</v>
      </c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</row>
    <row r="44" spans="1:53" ht="13.5" customHeight="1">
      <c r="A44" s="47" t="s">
        <v>94</v>
      </c>
      <c r="B44" s="1" t="s">
        <v>23</v>
      </c>
      <c r="C44" s="38">
        <v>6826925</v>
      </c>
      <c r="D44" s="38">
        <v>492826</v>
      </c>
      <c r="E44" s="38">
        <v>7184340</v>
      </c>
      <c r="F44" s="38">
        <v>2607552</v>
      </c>
      <c r="G44" s="38">
        <v>1594645</v>
      </c>
      <c r="H44" s="38">
        <v>3179003</v>
      </c>
      <c r="I44" s="38">
        <v>26775668</v>
      </c>
      <c r="J44" s="38">
        <v>50</v>
      </c>
      <c r="K44" s="38">
        <v>4858806</v>
      </c>
      <c r="L44" s="38">
        <v>10685788</v>
      </c>
      <c r="M44" s="38">
        <v>5299685</v>
      </c>
      <c r="N44" s="38">
        <v>59980214</v>
      </c>
      <c r="O44" s="38">
        <v>16524948</v>
      </c>
      <c r="P44" s="38">
        <v>11389415</v>
      </c>
      <c r="Q44" s="38">
        <v>27105345</v>
      </c>
      <c r="R44" s="38">
        <v>906543</v>
      </c>
      <c r="S44" s="38">
        <v>10150938</v>
      </c>
      <c r="T44" s="38">
        <v>20286757</v>
      </c>
      <c r="U44" s="38">
        <v>5288608</v>
      </c>
      <c r="V44" s="38">
        <v>6766250</v>
      </c>
      <c r="W44" s="38">
        <v>18105570</v>
      </c>
      <c r="X44" s="38">
        <v>36332814</v>
      </c>
      <c r="Y44" s="38">
        <v>5371797</v>
      </c>
      <c r="Z44" s="38">
        <v>35261097</v>
      </c>
      <c r="AA44" s="38">
        <v>12984833</v>
      </c>
      <c r="AB44" s="38">
        <v>69279349</v>
      </c>
      <c r="AC44" s="38">
        <v>28647148</v>
      </c>
      <c r="AD44" s="38">
        <v>7189528</v>
      </c>
      <c r="AE44" s="38">
        <v>60428502</v>
      </c>
      <c r="AF44" s="38">
        <v>12635621</v>
      </c>
      <c r="AG44" s="38">
        <v>13918268</v>
      </c>
      <c r="AH44" s="38">
        <v>6439170</v>
      </c>
      <c r="AI44" s="38">
        <v>4683288</v>
      </c>
      <c r="AJ44" s="38">
        <v>0</v>
      </c>
      <c r="AK44" s="26">
        <v>539181291</v>
      </c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</row>
    <row r="45" spans="1:53" ht="12.75" customHeight="1">
      <c r="A45" s="47" t="s">
        <v>95</v>
      </c>
      <c r="B45" s="1" t="s">
        <v>39</v>
      </c>
      <c r="C45" s="38">
        <v>-27016</v>
      </c>
      <c r="D45" s="38">
        <v>-6795</v>
      </c>
      <c r="E45" s="38">
        <v>14378726</v>
      </c>
      <c r="F45" s="38">
        <v>2081072</v>
      </c>
      <c r="G45" s="38">
        <v>1110431</v>
      </c>
      <c r="H45" s="38">
        <v>17800753</v>
      </c>
      <c r="I45" s="38">
        <v>4534298</v>
      </c>
      <c r="J45" s="38">
        <v>0</v>
      </c>
      <c r="K45" s="38">
        <v>911160</v>
      </c>
      <c r="L45" s="38">
        <v>1198062</v>
      </c>
      <c r="M45" s="38">
        <v>1425139</v>
      </c>
      <c r="N45" s="38">
        <v>2455564</v>
      </c>
      <c r="O45" s="38">
        <v>1946311</v>
      </c>
      <c r="P45" s="38">
        <v>1845434</v>
      </c>
      <c r="Q45" s="38">
        <v>7185378</v>
      </c>
      <c r="R45" s="38">
        <v>997653</v>
      </c>
      <c r="S45" s="38">
        <v>548886</v>
      </c>
      <c r="T45" s="38">
        <v>3631197</v>
      </c>
      <c r="U45" s="38">
        <v>108881</v>
      </c>
      <c r="V45" s="38">
        <v>21285495</v>
      </c>
      <c r="W45" s="38">
        <v>17403973</v>
      </c>
      <c r="X45" s="38">
        <v>-2966019</v>
      </c>
      <c r="Y45" s="38">
        <v>12631432</v>
      </c>
      <c r="Z45" s="38">
        <v>6428467</v>
      </c>
      <c r="AA45" s="38">
        <v>10283809</v>
      </c>
      <c r="AB45" s="38">
        <v>33396994</v>
      </c>
      <c r="AC45" s="38">
        <v>3703102</v>
      </c>
      <c r="AD45" s="38">
        <v>3414461</v>
      </c>
      <c r="AE45" s="38">
        <v>3508</v>
      </c>
      <c r="AF45" s="38">
        <v>209536</v>
      </c>
      <c r="AG45" s="38">
        <v>218867</v>
      </c>
      <c r="AH45" s="38">
        <v>6447347</v>
      </c>
      <c r="AI45" s="38">
        <v>3202028</v>
      </c>
      <c r="AJ45" s="38">
        <v>0</v>
      </c>
      <c r="AK45" s="26">
        <v>177788134</v>
      </c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</row>
    <row r="46" spans="1:53" ht="13.5" customHeight="1">
      <c r="A46" s="45" t="s">
        <v>96</v>
      </c>
      <c r="B46" s="31" t="s">
        <v>24</v>
      </c>
      <c r="C46" s="28">
        <v>74068069</v>
      </c>
      <c r="D46" s="28">
        <v>5326597</v>
      </c>
      <c r="E46" s="28">
        <v>182394945</v>
      </c>
      <c r="F46" s="28">
        <v>70160146</v>
      </c>
      <c r="G46" s="28">
        <v>56014686</v>
      </c>
      <c r="H46" s="28">
        <v>176562966</v>
      </c>
      <c r="I46" s="28">
        <v>376625218</v>
      </c>
      <c r="J46" s="28">
        <v>1000.0000000008048</v>
      </c>
      <c r="K46" s="28">
        <v>50827524</v>
      </c>
      <c r="L46" s="28">
        <v>191899112</v>
      </c>
      <c r="M46" s="28">
        <v>136298810</v>
      </c>
      <c r="N46" s="28">
        <v>319811734</v>
      </c>
      <c r="O46" s="28">
        <v>172753507</v>
      </c>
      <c r="P46" s="28">
        <v>185483373</v>
      </c>
      <c r="Q46" s="28">
        <v>337135671</v>
      </c>
      <c r="R46" s="28">
        <v>28943269</v>
      </c>
      <c r="S46" s="28">
        <v>96802300</v>
      </c>
      <c r="T46" s="28">
        <v>151678800</v>
      </c>
      <c r="U46" s="28">
        <v>41799020</v>
      </c>
      <c r="V46" s="28">
        <v>342238299</v>
      </c>
      <c r="W46" s="28">
        <v>396488672</v>
      </c>
      <c r="X46" s="28">
        <v>221215271</v>
      </c>
      <c r="Y46" s="28">
        <v>223735804</v>
      </c>
      <c r="Z46" s="28">
        <v>218302817</v>
      </c>
      <c r="AA46" s="28">
        <v>230943184</v>
      </c>
      <c r="AB46" s="28">
        <v>271811087</v>
      </c>
      <c r="AC46" s="28">
        <v>355695360</v>
      </c>
      <c r="AD46" s="28">
        <v>144310956</v>
      </c>
      <c r="AE46" s="28">
        <v>202555649</v>
      </c>
      <c r="AF46" s="28">
        <v>154338997</v>
      </c>
      <c r="AG46" s="28">
        <v>219151203</v>
      </c>
      <c r="AH46" s="28">
        <v>64700619</v>
      </c>
      <c r="AI46" s="28">
        <v>81600115</v>
      </c>
      <c r="AJ46" s="28">
        <v>5019959</v>
      </c>
      <c r="AK46" s="26">
        <v>5786694739</v>
      </c>
      <c r="AL46" s="62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</row>
    <row r="47" spans="1:53" ht="13.5" customHeight="1">
      <c r="A47" s="45" t="s">
        <v>97</v>
      </c>
      <c r="B47" s="31" t="s">
        <v>41</v>
      </c>
      <c r="C47" s="28">
        <v>65855570.757684648</v>
      </c>
      <c r="D47" s="28">
        <v>4054042.8500571693</v>
      </c>
      <c r="E47" s="28">
        <v>152039313.94926831</v>
      </c>
      <c r="F47" s="28">
        <v>60721462.540533498</v>
      </c>
      <c r="G47" s="28">
        <v>45198801.38007082</v>
      </c>
      <c r="H47" s="28">
        <v>84333723.224082932</v>
      </c>
      <c r="I47" s="28">
        <v>294065811.02158403</v>
      </c>
      <c r="J47" s="28"/>
      <c r="K47" s="28">
        <v>39826172.150729999</v>
      </c>
      <c r="L47" s="28">
        <v>135389956.03120917</v>
      </c>
      <c r="M47" s="28">
        <v>99410721.416656435</v>
      </c>
      <c r="N47" s="28">
        <v>358809398.08642983</v>
      </c>
      <c r="O47" s="28">
        <v>144060290.14251709</v>
      </c>
      <c r="P47" s="28">
        <v>166966612.02598816</v>
      </c>
      <c r="Q47" s="28">
        <v>307861095.92296749</v>
      </c>
      <c r="R47" s="28">
        <v>23870056.767149303</v>
      </c>
      <c r="S47" s="28">
        <v>78915573.606918126</v>
      </c>
      <c r="T47" s="28">
        <v>101014452.06722674</v>
      </c>
      <c r="U47" s="28">
        <v>38935899.292704582</v>
      </c>
      <c r="V47" s="28">
        <v>300207754.8497923</v>
      </c>
      <c r="W47" s="28">
        <v>351470508.11218393</v>
      </c>
      <c r="X47" s="28">
        <v>195411162.48250645</v>
      </c>
      <c r="Y47" s="28">
        <v>190044310.7957266</v>
      </c>
      <c r="Z47" s="28">
        <v>208927089.57780936</v>
      </c>
      <c r="AA47" s="28">
        <v>231869871.22433615</v>
      </c>
      <c r="AB47" s="28">
        <v>263787476.08922297</v>
      </c>
      <c r="AC47" s="28">
        <v>324021261.30544049</v>
      </c>
      <c r="AD47" s="28">
        <v>131386703.33317496</v>
      </c>
      <c r="AE47" s="28">
        <v>183643356.60740322</v>
      </c>
      <c r="AF47" s="28">
        <v>144132517.54136884</v>
      </c>
      <c r="AG47" s="28">
        <v>210646420.4366267</v>
      </c>
      <c r="AH47" s="28">
        <v>58572636.430381164</v>
      </c>
      <c r="AI47" s="28">
        <v>71595126.980688363</v>
      </c>
      <c r="AJ47" s="28">
        <v>4286533.1739390315</v>
      </c>
      <c r="AK47" s="41">
        <v>5071331682.1743765</v>
      </c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</row>
    <row r="48" spans="1:53" ht="13.5" customHeight="1">
      <c r="A48" s="1" t="s">
        <v>115</v>
      </c>
      <c r="B48" s="1" t="s">
        <v>120</v>
      </c>
      <c r="C48" s="9">
        <v>26208380</v>
      </c>
      <c r="D48" s="9">
        <v>2042881.5999817885</v>
      </c>
      <c r="E48" s="9">
        <v>2065050.0000000002</v>
      </c>
      <c r="F48" s="9">
        <v>4524770</v>
      </c>
      <c r="G48" s="9">
        <v>2843750</v>
      </c>
      <c r="H48" s="9">
        <v>36281629.567042917</v>
      </c>
      <c r="I48" s="9">
        <v>84687500</v>
      </c>
      <c r="J48" s="9"/>
      <c r="K48" s="9">
        <v>35157346.032126516</v>
      </c>
      <c r="L48" s="9">
        <v>102537669.99999999</v>
      </c>
      <c r="M48" s="9">
        <v>368275.38266030874</v>
      </c>
      <c r="N48" s="9">
        <v>3829179.9788428782</v>
      </c>
      <c r="O48" s="9">
        <v>123929.88878779384</v>
      </c>
      <c r="P48" s="9">
        <v>6926969.9999999991</v>
      </c>
      <c r="Q48" s="9">
        <v>2362190</v>
      </c>
      <c r="R48" s="9">
        <v>3595100.7620893372</v>
      </c>
      <c r="S48" s="9">
        <v>1648577.9554931689</v>
      </c>
      <c r="T48" s="9">
        <v>229332018.83297527</v>
      </c>
      <c r="U48" s="9">
        <v>18172000</v>
      </c>
      <c r="V48" s="9">
        <v>1813020</v>
      </c>
      <c r="W48" s="9">
        <v>1433144.6534375222</v>
      </c>
      <c r="X48" s="9">
        <v>101159784.67216459</v>
      </c>
      <c r="Y48" s="9">
        <v>2253064.9636808308</v>
      </c>
      <c r="Z48" s="9">
        <v>101446.17045806264</v>
      </c>
      <c r="AA48" s="9">
        <v>132046.07240723589</v>
      </c>
      <c r="AB48" s="9">
        <v>236199.082283881</v>
      </c>
      <c r="AC48" s="9">
        <v>1892727.0370475345</v>
      </c>
      <c r="AD48" s="9">
        <v>157565.48930203504</v>
      </c>
      <c r="AE48" s="9">
        <v>6015859.8701946959</v>
      </c>
      <c r="AF48" s="9">
        <v>2189527.7906128233</v>
      </c>
      <c r="AG48" s="9">
        <v>1803187.2434054068</v>
      </c>
      <c r="AH48" s="9">
        <v>373361.73616845929</v>
      </c>
      <c r="AI48" s="9">
        <v>422069.89100151369</v>
      </c>
      <c r="AJ48" s="9">
        <v>0</v>
      </c>
      <c r="AK48" s="9">
        <f>SUM(C48:AJ48)</f>
        <v>682690224.67216456</v>
      </c>
    </row>
  </sheetData>
  <mergeCells count="1">
    <mergeCell ref="A5:B6"/>
  </mergeCells>
  <phoneticPr fontId="19" type="noConversion"/>
  <conditionalFormatting sqref="C1:AJ1">
    <cfRule type="cellIs" dxfId="5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99EB-650D-44CE-BF1A-3E3642716E82}">
  <sheetPr>
    <tabColor theme="5"/>
  </sheetPr>
  <dimension ref="A1:AK160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C127" sqref="C12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3" width="20.125" style="1" bestFit="1" customWidth="1"/>
    <col min="4" max="8" width="18.625" style="1"/>
    <col min="9" max="10" width="18.625" style="164"/>
    <col min="11" max="16384" width="18.625" style="1"/>
  </cols>
  <sheetData>
    <row r="1" spans="1:37" ht="13.5" customHeight="1">
      <c r="C1" s="3"/>
      <c r="D1" s="3"/>
      <c r="E1" s="3"/>
      <c r="F1" s="3"/>
      <c r="G1" s="3"/>
      <c r="H1" s="3"/>
      <c r="I1" s="162"/>
      <c r="J1" s="16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7" ht="13.5" customHeight="1">
      <c r="B2" s="12"/>
      <c r="C2" s="2"/>
      <c r="D2" s="2"/>
      <c r="E2" s="2"/>
      <c r="F2" s="2"/>
      <c r="G2" s="2"/>
      <c r="H2" s="2"/>
      <c r="I2" s="163"/>
      <c r="J2" s="16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7" ht="13.5" customHeight="1">
      <c r="B3" s="2"/>
    </row>
    <row r="4" spans="1:37" s="10" customFormat="1" ht="13.5" customHeight="1">
      <c r="A4" s="21"/>
      <c r="B4" s="15"/>
      <c r="I4" s="165"/>
      <c r="J4" s="165"/>
      <c r="AK4" s="1"/>
    </row>
    <row r="5" spans="1:37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166" t="s">
        <v>50</v>
      </c>
      <c r="J5" s="166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</row>
    <row r="6" spans="1:37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167" t="s">
        <v>8</v>
      </c>
      <c r="J6" s="167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</row>
    <row r="7" spans="1:37" ht="13.5" customHeight="1">
      <c r="A7" s="44" t="s">
        <v>44</v>
      </c>
      <c r="B7" s="15" t="s">
        <v>2</v>
      </c>
      <c r="C7" s="63">
        <f>국산거래표_new!C7/'A표_총거래표(생산자)_new'!C$186</f>
        <v>5.0905944368551038E-2</v>
      </c>
      <c r="D7" s="63">
        <f>국산거래표_new!D7/'A표_총거래표(생산자)_new'!D$186</f>
        <v>6.5126008218755805E-4</v>
      </c>
      <c r="E7" s="63">
        <f>국산거래표_new!E7/'A표_총거래표(생산자)_new'!E$186</f>
        <v>0.18924699914243787</v>
      </c>
      <c r="F7" s="63">
        <f>국산거래표_new!F7/'A표_총거래표(생산자)_new'!F$186</f>
        <v>5.5126738191223267E-4</v>
      </c>
      <c r="G7" s="63">
        <f>국산거래표_new!G7/'A표_총거래표(생산자)_new'!G$186</f>
        <v>4.9573070890730339E-3</v>
      </c>
      <c r="H7" s="63">
        <f>국산거래표_new!H7/'A표_총거래표(생산자)_new'!H$186</f>
        <v>2.3804538942781466E-5</v>
      </c>
      <c r="I7" s="168">
        <f>국산거래표_new!I7/'A표_총거래표(생산자)_new'!I$186</f>
        <v>1.4753726118248694E-3</v>
      </c>
      <c r="J7" s="168">
        <f>국산거래표_new!J7/'A표_총거래표(생산자)_new'!J$186</f>
        <v>4.684401976803842E-4</v>
      </c>
      <c r="K7" s="63">
        <f>국산거래표_new!K7/'A표_총거래표(생산자)_new'!K$186</f>
        <v>7.1103207781673567E-5</v>
      </c>
      <c r="L7" s="63">
        <f>국산거래표_new!L7/'A표_총거래표(생산자)_new'!L$186</f>
        <v>3.3668733183090497E-5</v>
      </c>
      <c r="M7" s="63">
        <f>국산거래표_new!M7/'A표_총거래표(생산자)_new'!M$186</f>
        <v>5.4167750987701216E-5</v>
      </c>
      <c r="N7" s="63">
        <f>국산거래표_new!N7/'A표_총거래표(생산자)_new'!N$186</f>
        <v>2.2944749112926546E-5</v>
      </c>
      <c r="O7" s="63">
        <f>국산거래표_new!O7/'A표_총거래표(생산자)_new'!O$186</f>
        <v>1.2051853743264385E-5</v>
      </c>
      <c r="P7" s="63">
        <f>국산거래표_new!P7/'A표_총거래표(생산자)_new'!P$186</f>
        <v>3.7561318232012094E-5</v>
      </c>
      <c r="Q7" s="63">
        <f>국산거래표_new!Q7/'A표_총거래표(생산자)_new'!Q$186</f>
        <v>6.8310778066554695E-6</v>
      </c>
      <c r="R7" s="63">
        <f>국산거래표_new!R7/'A표_총거래표(생산자)_new'!R$186</f>
        <v>4.3661274059955012E-4</v>
      </c>
      <c r="S7" s="63">
        <f>국산거래표_new!S7/'A표_총거래표(생산자)_new'!S$186</f>
        <v>5.5382465086056838E-3</v>
      </c>
      <c r="T7" s="63">
        <f>국산거래표_new!T7/'A표_총거래표(생산자)_new'!T$186</f>
        <v>2.4729889740688877E-5</v>
      </c>
      <c r="U7" s="63">
        <f>국산거래표_new!U7/'A표_총거래표(생산자)_new'!U$186</f>
        <v>3.0476791082661747E-4</v>
      </c>
      <c r="V7" s="63">
        <f>국산거래표_new!V7/'A표_총거래표(생산자)_new'!V$186</f>
        <v>1.0625783293762806E-3</v>
      </c>
      <c r="W7" s="63">
        <f>국산거래표_new!W7/'A표_총거래표(생산자)_new'!W$186</f>
        <v>2.5543731045107892E-4</v>
      </c>
      <c r="X7" s="63">
        <f>국산거래표_new!X7/'A표_총거래표(생산자)_new'!X$186</f>
        <v>5.9218334886111912E-5</v>
      </c>
      <c r="Y7" s="63">
        <f>국산거래표_new!Y7/'A표_총거래표(생산자)_new'!Y$186</f>
        <v>5.6465410426665551E-2</v>
      </c>
      <c r="Z7" s="63">
        <f>국산거래표_new!Z7/'A표_총거래표(생산자)_new'!Z$186</f>
        <v>6.6064195589377115E-5</v>
      </c>
      <c r="AA7" s="63">
        <f>국산거래표_new!AA7/'A표_총거래표(생산자)_new'!AA$186</f>
        <v>5.1237710483804538E-5</v>
      </c>
      <c r="AB7" s="63">
        <f>국산거래표_new!AB7/'A표_총거래표(생산자)_new'!AB$186</f>
        <v>2.6073255797693051E-5</v>
      </c>
      <c r="AC7" s="63">
        <f>국산거래표_new!AC7/'A표_총거래표(생산자)_new'!AC$186</f>
        <v>1.9356732682709158E-4</v>
      </c>
      <c r="AD7" s="63">
        <f>국산거래표_new!AD7/'A표_총거래표(생산자)_new'!AD$186</f>
        <v>1.4235925372152618E-4</v>
      </c>
      <c r="AE7" s="63">
        <f>국산거래표_new!AE7/'A표_총거래표(생산자)_new'!AE$186</f>
        <v>1.5545505719270264E-3</v>
      </c>
      <c r="AF7" s="63">
        <f>국산거래표_new!AF7/'A표_총거래표(생산자)_new'!AF$186</f>
        <v>4.6208282667536058E-3</v>
      </c>
      <c r="AG7" s="63">
        <f>국산거래표_new!AG7/'A표_총거래표(생산자)_new'!AG$186</f>
        <v>3.6528295945516668E-3</v>
      </c>
      <c r="AH7" s="63">
        <f>국산거래표_new!AH7/'A표_총거래표(생산자)_new'!AH$186</f>
        <v>1.0908705525676655E-3</v>
      </c>
      <c r="AI7" s="63">
        <f>국산거래표_new!AI7/'A표_총거래표(생산자)_new'!AI$186</f>
        <v>8.8981492244220492E-4</v>
      </c>
      <c r="AJ7" s="63">
        <f>국산거래표_new!AJ7/'A표_총거래표(생산자)_new'!AJ$186</f>
        <v>6.782923924279063E-4</v>
      </c>
      <c r="AK7" s="65">
        <f>SUM(C7:AJ7)</f>
        <v>0.32563221359769812</v>
      </c>
    </row>
    <row r="8" spans="1:37" ht="13.5" customHeight="1">
      <c r="A8" s="44" t="s">
        <v>45</v>
      </c>
      <c r="B8" s="15" t="s">
        <v>3</v>
      </c>
      <c r="C8" s="63">
        <f>국산거래표_new!C8/'A표_총거래표(생산자)_new'!C$186</f>
        <v>2.7744749225202564E-5</v>
      </c>
      <c r="D8" s="63">
        <f>국산거래표_new!D8/'A표_총거래표(생산자)_new'!D$186</f>
        <v>5.6302363403876805E-4</v>
      </c>
      <c r="E8" s="63">
        <f>국산거래표_new!E8/'A표_총거래표(생산자)_new'!E$186</f>
        <v>2.290030570748548E-4</v>
      </c>
      <c r="F8" s="63">
        <f>국산거래표_new!F8/'A표_총거래표(생산자)_new'!F$186</f>
        <v>3.6302661057746377E-5</v>
      </c>
      <c r="G8" s="63">
        <f>국산거래표_new!G8/'A표_총거래표(생산자)_new'!G$186</f>
        <v>2.1137313882291513E-4</v>
      </c>
      <c r="H8" s="63">
        <f>국산거래표_new!H8/'A표_총거래표(생산자)_new'!H$186</f>
        <v>6.3555796859461459E-4</v>
      </c>
      <c r="I8" s="168">
        <f>국산거래표_new!I8/'A표_총거래표(생산자)_new'!I$186</f>
        <v>9.9091337984313996E-4</v>
      </c>
      <c r="J8" s="168">
        <f>국산거래표_new!J8/'A표_총거래표(생산자)_new'!J$186</f>
        <v>3.2297430564129908E-5</v>
      </c>
      <c r="K8" s="63">
        <f>국산거래표_new!K8/'A표_총거래표(생산자)_new'!K$186</f>
        <v>7.770333254871907E-2</v>
      </c>
      <c r="L8" s="63">
        <f>국산거래표_new!L8/'A표_총거래표(생산자)_new'!L$186</f>
        <v>1.1947736370973932E-3</v>
      </c>
      <c r="M8" s="63">
        <f>국산거래표_new!M8/'A표_총거래표(생산자)_new'!M$186</f>
        <v>2.5930527199760585E-4</v>
      </c>
      <c r="N8" s="63">
        <f>국산거래표_new!N8/'A표_총거래표(생산자)_new'!N$186</f>
        <v>1.0884216024418916E-4</v>
      </c>
      <c r="O8" s="63">
        <f>국산거래표_new!O8/'A표_총거래표(생산자)_new'!O$186</f>
        <v>3.5924017449903349E-5</v>
      </c>
      <c r="P8" s="63">
        <f>국산거래표_new!P8/'A표_총거래표(생산자)_new'!P$186</f>
        <v>7.1445757027504558E-5</v>
      </c>
      <c r="Q8" s="63">
        <f>국산거래표_new!Q8/'A표_총거래표(생산자)_new'!Q$186</f>
        <v>6.5641229640158728E-6</v>
      </c>
      <c r="R8" s="63">
        <f>국산거래표_new!R8/'A표_총거래표(생산자)_new'!R$186</f>
        <v>8.8587090836214809E-5</v>
      </c>
      <c r="S8" s="63">
        <f>국산거래표_new!S8/'A표_총거래표(생산자)_new'!S$186</f>
        <v>1.8838395368705083E-4</v>
      </c>
      <c r="T8" s="63">
        <f>국산거래표_new!T8/'A표_총거래표(생산자)_new'!T$186</f>
        <v>8.3965590445072083E-4</v>
      </c>
      <c r="U8" s="63">
        <f>국산거래표_new!U8/'A표_총거래표(생산자)_new'!U$186</f>
        <v>1.2820157027604953E-3</v>
      </c>
      <c r="V8" s="63">
        <f>국산거래표_new!V8/'A표_총거래표(생산자)_new'!V$186</f>
        <v>7.280044364643128E-4</v>
      </c>
      <c r="W8" s="63">
        <f>국산거래표_new!W8/'A표_총거래표(생산자)_new'!W$186</f>
        <v>0</v>
      </c>
      <c r="X8" s="63">
        <f>국산거래표_new!X8/'A표_총거래표(생산자)_new'!X$186</f>
        <v>0</v>
      </c>
      <c r="Y8" s="63">
        <f>국산거래표_new!Y8/'A표_총거래표(생산자)_new'!Y$186</f>
        <v>5.7947810623998291E-5</v>
      </c>
      <c r="Z8" s="63">
        <f>국산거래표_new!Z8/'A표_총거래표(생산자)_new'!Z$186</f>
        <v>0</v>
      </c>
      <c r="AA8" s="63">
        <f>국산거래표_new!AA8/'A표_총거래표(생산자)_new'!AA$186</f>
        <v>0</v>
      </c>
      <c r="AB8" s="63">
        <f>국산거래표_new!AB8/'A표_총거래표(생산자)_new'!AB$186</f>
        <v>5.1874263686675884E-7</v>
      </c>
      <c r="AC8" s="63">
        <f>국산거래표_new!AC8/'A표_총거래표(생산자)_new'!AC$186</f>
        <v>1.6899292698111102E-5</v>
      </c>
      <c r="AD8" s="63">
        <f>국산거래표_new!AD8/'A표_총거래표(생산자)_new'!AD$186</f>
        <v>9.2952055559801023E-5</v>
      </c>
      <c r="AE8" s="63">
        <f>국산거래표_new!AE8/'A표_총거래표(생산자)_new'!AE$186</f>
        <v>8.269332444043562E-5</v>
      </c>
      <c r="AF8" s="63">
        <f>국산거래표_new!AF8/'A표_총거래표(생산자)_new'!AF$186</f>
        <v>6.9522286710208434E-6</v>
      </c>
      <c r="AG8" s="63">
        <f>국산거래표_new!AG8/'A표_총거래표(생산자)_new'!AG$186</f>
        <v>7.6303482577734247E-5</v>
      </c>
      <c r="AH8" s="63">
        <f>국산거래표_new!AH8/'A표_총거래표(생산자)_new'!AH$186</f>
        <v>3.7403042465482439E-5</v>
      </c>
      <c r="AI8" s="63">
        <f>국산거래표_new!AI8/'A표_총거래표(생산자)_new'!AI$186</f>
        <v>2.9669075834023028E-5</v>
      </c>
      <c r="AJ8" s="63">
        <f>국산거래표_new!AJ8/'A표_총거래표(생산자)_new'!AJ$186</f>
        <v>6.7729636835679338E-6</v>
      </c>
      <c r="AK8" s="65">
        <f t="shared" ref="AK8:AK42" si="0">SUM(C8:AJ8)</f>
        <v>8.5641162642110913E-2</v>
      </c>
    </row>
    <row r="9" spans="1:37" ht="13.5" customHeight="1">
      <c r="A9" s="44" t="s">
        <v>46</v>
      </c>
      <c r="B9" s="15" t="s">
        <v>4</v>
      </c>
      <c r="C9" s="63">
        <f>국산거래표_new!C9/'A표_총거래표(생산자)_new'!C$186</f>
        <v>0.1792115979154256</v>
      </c>
      <c r="D9" s="63">
        <f>국산거래표_new!D9/'A표_총거래표(생산자)_new'!D$186</f>
        <v>3.0390885587927904E-3</v>
      </c>
      <c r="E9" s="63">
        <f>국산거래표_new!E9/'A표_총거래표(생산자)_new'!E$186</f>
        <v>0.12684033540512868</v>
      </c>
      <c r="F9" s="63">
        <f>국산거래표_new!F9/'A표_총거래표(생산자)_new'!F$186</f>
        <v>1.2324375721795107E-3</v>
      </c>
      <c r="G9" s="63">
        <f>국산거래표_new!G9/'A표_총거래표(생산자)_new'!G$186</f>
        <v>1.2097541705402043E-3</v>
      </c>
      <c r="H9" s="63">
        <f>국산거래표_new!H9/'A표_총거래표(생산자)_new'!H$186</f>
        <v>-5.6217904721876952E-5</v>
      </c>
      <c r="I9" s="168">
        <f>국산거래표_new!I9/'A표_총거래표(생산자)_new'!I$186</f>
        <v>3.5809846424838866E-3</v>
      </c>
      <c r="J9" s="168">
        <f>국산거래표_new!J9/'A표_총거래표(생산자)_new'!J$186</f>
        <v>1.8783698007328359E-3</v>
      </c>
      <c r="K9" s="63">
        <f>국산거래표_new!K9/'A표_총거래표(생산자)_new'!K$186</f>
        <v>6.3654487674827517E-4</v>
      </c>
      <c r="L9" s="63">
        <f>국산거래표_new!L9/'A표_총거래표(생산자)_new'!L$186</f>
        <v>4.07662126128025E-4</v>
      </c>
      <c r="M9" s="63">
        <f>국산거래표_new!M9/'A표_총거래표(생산자)_new'!M$186</f>
        <v>7.7795250009886363E-4</v>
      </c>
      <c r="N9" s="63">
        <f>국산거래표_new!N9/'A표_총거래표(생산자)_new'!N$186</f>
        <v>8.8508322211842291E-5</v>
      </c>
      <c r="O9" s="63">
        <f>국산거래표_new!O9/'A표_총거래표(생산자)_new'!O$186</f>
        <v>1.3731703866364924E-4</v>
      </c>
      <c r="P9" s="63">
        <f>국산거래표_new!P9/'A표_총거래표(생산자)_new'!P$186</f>
        <v>4.358342135604791E-4</v>
      </c>
      <c r="Q9" s="63">
        <f>국산거래표_new!Q9/'A표_총거래표(생산자)_new'!Q$186</f>
        <v>-4.4919601521489548E-5</v>
      </c>
      <c r="R9" s="63">
        <f>국산거래표_new!R9/'A표_총거래표(생산자)_new'!R$186</f>
        <v>3.7390385999591132E-4</v>
      </c>
      <c r="S9" s="63">
        <f>국산거래표_new!S9/'A표_총거래표(생산자)_new'!S$186</f>
        <v>6.5254647875102141E-3</v>
      </c>
      <c r="T9" s="63">
        <f>국산거래표_new!T9/'A표_총거래표(생산자)_new'!T$186</f>
        <v>7.3793766828324061E-3</v>
      </c>
      <c r="U9" s="63">
        <f>국산거래표_new!U9/'A표_총거래표(생산자)_new'!U$186</f>
        <v>1.8085113000256945E-3</v>
      </c>
      <c r="V9" s="63">
        <f>국산거래표_new!V9/'A표_총거래표(생산자)_new'!V$186</f>
        <v>8.7304664870368589E-5</v>
      </c>
      <c r="W9" s="63">
        <f>국산거래표_new!W9/'A표_총거래표(생산자)_new'!W$186</f>
        <v>5.3261168581381314E-3</v>
      </c>
      <c r="X9" s="63">
        <f>국산거래표_new!X9/'A표_총거래표(생산자)_new'!X$186</f>
        <v>1.0539778693668938E-3</v>
      </c>
      <c r="Y9" s="63">
        <f>국산거래표_new!Y9/'A표_총거래표(생산자)_new'!Y$186</f>
        <v>0.23709591425072046</v>
      </c>
      <c r="Z9" s="63">
        <f>국산거래표_new!Z9/'A표_총거래표(생산자)_new'!Z$186</f>
        <v>1.4626380199207415E-3</v>
      </c>
      <c r="AA9" s="63">
        <f>국산거래표_new!AA9/'A표_총거래표(생산자)_new'!AA$186</f>
        <v>7.1971381497883916E-4</v>
      </c>
      <c r="AB9" s="63">
        <f>국산거래표_new!AB9/'A표_총거래표(생산자)_new'!AB$186</f>
        <v>7.5850474782141608E-5</v>
      </c>
      <c r="AC9" s="63">
        <f>국산거래표_new!AC9/'A표_총거래표(생산자)_new'!AC$186</f>
        <v>4.4515621457642852E-3</v>
      </c>
      <c r="AD9" s="63">
        <f>국산거래표_new!AD9/'A표_총거래표(생산자)_new'!AD$186</f>
        <v>4.9536017209947667E-3</v>
      </c>
      <c r="AE9" s="63">
        <f>국산거래표_new!AE9/'A표_총거래표(생산자)_new'!AE$186</f>
        <v>5.8002233252946699E-3</v>
      </c>
      <c r="AF9" s="63">
        <f>국산거래표_new!AF9/'A표_총거래표(생산자)_new'!AF$186</f>
        <v>2.067284394753453E-2</v>
      </c>
      <c r="AG9" s="63">
        <f>국산거래표_new!AG9/'A표_총거래표(생산자)_new'!AG$186</f>
        <v>1.2230391452608179E-2</v>
      </c>
      <c r="AH9" s="63">
        <f>국산거래표_new!AH9/'A표_총거래표(생산자)_new'!AH$186</f>
        <v>4.0399366194626363E-2</v>
      </c>
      <c r="AI9" s="63">
        <f>국산거래표_new!AI9/'A표_총거래표(생산자)_new'!AI$186</f>
        <v>1.3473436894053397E-2</v>
      </c>
      <c r="AJ9" s="63">
        <f>국산거래표_new!AJ9/'A표_총거래표(생산자)_new'!AJ$186</f>
        <v>1.0909850060528383E-2</v>
      </c>
      <c r="AK9" s="65">
        <f t="shared" si="0"/>
        <v>0.69417529796099764</v>
      </c>
    </row>
    <row r="10" spans="1:37" ht="13.5" customHeight="1">
      <c r="A10" s="44" t="s">
        <v>47</v>
      </c>
      <c r="B10" s="15" t="s">
        <v>5</v>
      </c>
      <c r="C10" s="63">
        <f>국산거래표_new!C10/'A표_총거래표(생산자)_new'!C$186</f>
        <v>6.9709121213893128E-3</v>
      </c>
      <c r="D10" s="63">
        <f>국산거래표_new!D10/'A표_총거래표(생산자)_new'!D$186</f>
        <v>3.5221361781264848E-3</v>
      </c>
      <c r="E10" s="63">
        <f>국산거래표_new!E10/'A표_총거래표(생산자)_new'!E$186</f>
        <v>7.1875347203290087E-4</v>
      </c>
      <c r="F10" s="63">
        <f>국산거래표_new!F10/'A표_총거래표(생산자)_new'!F$186</f>
        <v>0.13465373917551426</v>
      </c>
      <c r="G10" s="63">
        <f>국산거래표_new!G10/'A표_총거래표(생산자)_new'!G$186</f>
        <v>8.3810520690948791E-3</v>
      </c>
      <c r="H10" s="63">
        <f>국산거래표_new!H10/'A표_총거래표(생산자)_new'!H$186</f>
        <v>5.6615496592869882E-4</v>
      </c>
      <c r="I10" s="168">
        <f>국산거래표_new!I10/'A표_총거래표(생산자)_new'!I$186</f>
        <v>2.8415267273067656E-3</v>
      </c>
      <c r="J10" s="168">
        <f>국산거래표_new!J10/'A표_총거래표(생산자)_new'!J$186</f>
        <v>1.3768752169202186E-3</v>
      </c>
      <c r="K10" s="63">
        <f>국산거래표_new!K10/'A표_총거래표(생산자)_new'!K$186</f>
        <v>2.9545802781973012E-3</v>
      </c>
      <c r="L10" s="63">
        <f>국산거래표_new!L10/'A표_총거래표(생산자)_new'!L$186</f>
        <v>9.3148945889859043E-4</v>
      </c>
      <c r="M10" s="63">
        <f>국산거래표_new!M10/'A표_총거래표(생산자)_new'!M$186</f>
        <v>2.7872657142054284E-3</v>
      </c>
      <c r="N10" s="63">
        <f>국산거래표_new!N10/'A표_총거래표(생산자)_new'!N$186</f>
        <v>8.299226444267989E-4</v>
      </c>
      <c r="O10" s="63">
        <f>국산거래표_new!O10/'A표_총거래표(생산자)_new'!O$186</f>
        <v>6.7144223011345288E-4</v>
      </c>
      <c r="P10" s="63">
        <f>국산거래표_new!P10/'A표_총거래표(생산자)_new'!P$186</f>
        <v>6.4592851673017616E-4</v>
      </c>
      <c r="Q10" s="63">
        <f>국산거래표_new!Q10/'A표_총거래표(생산자)_new'!Q$186</f>
        <v>2.8891662431057316E-3</v>
      </c>
      <c r="R10" s="63">
        <f>국산거래표_new!R10/'A표_총거래표(생산자)_new'!R$186</f>
        <v>4.8776902152966893E-2</v>
      </c>
      <c r="S10" s="63">
        <f>국산거래표_new!S10/'A표_총거래표(생산자)_new'!S$186</f>
        <v>2.5484735383353496E-2</v>
      </c>
      <c r="T10" s="63">
        <f>국산거래표_new!T10/'A표_총거래표(생산자)_new'!T$186</f>
        <v>2.9091738594978338E-4</v>
      </c>
      <c r="U10" s="63">
        <f>국산거래표_new!U10/'A표_총거래표(생산자)_new'!U$186</f>
        <v>5.5610394693464101E-3</v>
      </c>
      <c r="V10" s="63">
        <f>국산거래표_new!V10/'A표_총거래표(생산자)_new'!V$186</f>
        <v>2.2964408200263993E-4</v>
      </c>
      <c r="W10" s="63">
        <f>국산거래표_new!W10/'A표_총거래표(생산자)_new'!W$186</f>
        <v>3.1659164274937973E-3</v>
      </c>
      <c r="X10" s="63">
        <f>국산거래표_new!X10/'A표_총거래표(생산자)_new'!X$186</f>
        <v>8.1102131507006132E-3</v>
      </c>
      <c r="Y10" s="63">
        <f>국산거래표_new!Y10/'A표_총거래표(생산자)_new'!Y$186</f>
        <v>6.9224101476400264E-3</v>
      </c>
      <c r="Z10" s="63">
        <f>국산거래표_new!Z10/'A표_총거래표(생산자)_new'!Z$186</f>
        <v>1.1335309520994407E-3</v>
      </c>
      <c r="AA10" s="63">
        <f>국산거래표_new!AA10/'A표_총거래표(생산자)_new'!AA$186</f>
        <v>4.3592540059549887E-4</v>
      </c>
      <c r="AB10" s="63">
        <f>국산거래표_new!AB10/'A표_총거래표(생산자)_new'!AB$186</f>
        <v>6.3917186718730125E-4</v>
      </c>
      <c r="AC10" s="63">
        <f>국산거래표_new!AC10/'A표_총거래표(생산자)_new'!AC$186</f>
        <v>1.349404726561516E-3</v>
      </c>
      <c r="AD10" s="63">
        <f>국산거래표_new!AD10/'A표_총거래표(생산자)_new'!AD$186</f>
        <v>7.7589188723827729E-3</v>
      </c>
      <c r="AE10" s="63">
        <f>국산거래표_new!AE10/'A표_총거래표(생산자)_new'!AE$186</f>
        <v>3.1892717047846933E-3</v>
      </c>
      <c r="AF10" s="63">
        <f>국산거래표_new!AF10/'A표_총거래표(생산자)_new'!AF$186</f>
        <v>1.3683903880754129E-3</v>
      </c>
      <c r="AG10" s="63">
        <f>국산거래표_new!AG10/'A표_총거래표(생산자)_new'!AG$186</f>
        <v>3.8262486745281521E-3</v>
      </c>
      <c r="AH10" s="63">
        <f>국산거래표_new!AH10/'A표_총거래표(생산자)_new'!AH$186</f>
        <v>8.3304767146045386E-3</v>
      </c>
      <c r="AI10" s="63">
        <f>국산거래표_new!AI10/'A표_총거래표(생산자)_new'!AI$186</f>
        <v>1.0247068891998497E-2</v>
      </c>
      <c r="AJ10" s="63">
        <f>국산거래표_new!AJ10/'A표_총거래표(생산자)_new'!AJ$186</f>
        <v>3.4755263937414627E-3</v>
      </c>
      <c r="AK10" s="65">
        <f t="shared" si="0"/>
        <v>0.31103665779800393</v>
      </c>
    </row>
    <row r="11" spans="1:37" ht="13.5" customHeight="1">
      <c r="A11" s="44" t="s">
        <v>48</v>
      </c>
      <c r="B11" s="15" t="s">
        <v>6</v>
      </c>
      <c r="C11" s="63">
        <f>국산거래표_new!C11/'A표_총거래표(생산자)_new'!C$186</f>
        <v>1.1585815744703699E-2</v>
      </c>
      <c r="D11" s="63">
        <f>국산거래표_new!D11/'A표_총거래표(생산자)_new'!D$186</f>
        <v>2.0878245528993464E-3</v>
      </c>
      <c r="E11" s="63">
        <f>국산거래표_new!E11/'A표_총거래표(생산자)_new'!E$186</f>
        <v>1.9319811741493165E-2</v>
      </c>
      <c r="F11" s="63">
        <f>국산거래표_new!F11/'A표_총거래표(생산자)_new'!F$186</f>
        <v>3.1154866752985378E-3</v>
      </c>
      <c r="G11" s="63">
        <f>국산거래표_new!G11/'A표_총거래표(생산자)_new'!G$186</f>
        <v>0.21932698149910185</v>
      </c>
      <c r="H11" s="63">
        <f>국산거래표_new!H11/'A표_총거래표(생산자)_new'!H$186</f>
        <v>7.5567375776865913E-4</v>
      </c>
      <c r="I11" s="168">
        <f>국산거래표_new!I11/'A표_총거래표(생산자)_new'!I$186</f>
        <v>4.9247061666370271E-3</v>
      </c>
      <c r="J11" s="168">
        <f>국산거래표_new!J11/'A표_총거래표(생산자)_new'!J$186</f>
        <v>3.4664043397101404E-3</v>
      </c>
      <c r="K11" s="63">
        <f>국산거래표_new!K11/'A표_총거래표(생산자)_new'!K$186</f>
        <v>7.626025615570021E-3</v>
      </c>
      <c r="L11" s="63">
        <f>국산거래표_new!L11/'A표_총거래표(생산자)_new'!L$186</f>
        <v>1.2219285308626129E-3</v>
      </c>
      <c r="M11" s="63">
        <f>국산거래표_new!M11/'A표_총거래표(생산자)_new'!M$186</f>
        <v>7.211677049858322E-3</v>
      </c>
      <c r="N11" s="63">
        <f>국산거래표_new!N11/'A표_총거래표(생산자)_new'!N$186</f>
        <v>4.5882619178694674E-4</v>
      </c>
      <c r="O11" s="63">
        <f>국산거래표_new!O11/'A표_총거래표(생산자)_new'!O$186</f>
        <v>2.8005220177671993E-3</v>
      </c>
      <c r="P11" s="63">
        <f>국산거래표_new!P11/'A표_총거래표(생산자)_new'!P$186</f>
        <v>1.7913195917566153E-3</v>
      </c>
      <c r="Q11" s="63">
        <f>국산거래표_new!Q11/'A표_총거래표(생산자)_new'!Q$186</f>
        <v>2.8996338391021223E-4</v>
      </c>
      <c r="R11" s="63">
        <f>국산거래표_new!R11/'A표_총거래표(생산자)_new'!R$186</f>
        <v>4.8705866638630212E-2</v>
      </c>
      <c r="S11" s="63">
        <f>국산거래표_new!S11/'A표_총거래표(생산자)_new'!S$186</f>
        <v>4.0702855200754531E-3</v>
      </c>
      <c r="T11" s="63">
        <f>국산거래표_new!T11/'A표_총거래표(생산자)_new'!T$186</f>
        <v>2.8098125776311522E-3</v>
      </c>
      <c r="U11" s="63">
        <f>국산거래표_new!U11/'A표_총거래표(생산자)_new'!U$186</f>
        <v>-1.8404737718731205E-4</v>
      </c>
      <c r="V11" s="63">
        <f>국산거래표_new!V11/'A표_총거래표(생산자)_new'!V$186</f>
        <v>1.4571341122753769E-2</v>
      </c>
      <c r="W11" s="63">
        <f>국산거래표_new!W11/'A표_총거래표(생산자)_new'!W$186</f>
        <v>1.0554293969841337E-2</v>
      </c>
      <c r="X11" s="63">
        <f>국산거래표_new!X11/'A표_총거래표(생산자)_new'!X$186</f>
        <v>6.2325127635514815E-3</v>
      </c>
      <c r="Y11" s="63">
        <f>국산거래표_new!Y11/'A표_총거래표(생산자)_new'!Y$186</f>
        <v>8.909329505437583E-3</v>
      </c>
      <c r="Z11" s="63">
        <f>국산거래표_new!Z11/'A표_총거래표(생산자)_new'!Z$186</f>
        <v>8.7488564107718325E-3</v>
      </c>
      <c r="AA11" s="63">
        <f>국산거래표_new!AA11/'A표_총거래표(생산자)_new'!AA$186</f>
        <v>6.8616833480567236E-3</v>
      </c>
      <c r="AB11" s="63">
        <f>국산거래표_new!AB11/'A표_총거래표(생산자)_new'!AB$186</f>
        <v>8.3417862936547541E-4</v>
      </c>
      <c r="AC11" s="63">
        <f>국산거래표_new!AC11/'A표_총거래표(생산자)_new'!AC$186</f>
        <v>1.4129205958717032E-2</v>
      </c>
      <c r="AD11" s="63">
        <f>국산거래표_new!AD11/'A표_총거래표(생산자)_new'!AD$186</f>
        <v>4.2574037136861595E-3</v>
      </c>
      <c r="AE11" s="63">
        <f>국산거래표_new!AE11/'A표_총거래표(생산자)_new'!AE$186</f>
        <v>4.1762794776461654E-3</v>
      </c>
      <c r="AF11" s="63">
        <f>국산거래표_new!AF11/'A표_총거래표(생산자)_new'!AF$186</f>
        <v>6.154717980964979E-3</v>
      </c>
      <c r="AG11" s="63">
        <f>국산거래표_new!AG11/'A표_총거래표(생산자)_new'!AG$186</f>
        <v>5.8310927912177601E-3</v>
      </c>
      <c r="AH11" s="63">
        <f>국산거래표_new!AH11/'A표_총거래표(생산자)_new'!AH$186</f>
        <v>4.1528350756582406E-3</v>
      </c>
      <c r="AI11" s="63">
        <f>국산거래표_new!AI11/'A표_총거래표(생산자)_new'!AI$186</f>
        <v>1.0152792064079812E-2</v>
      </c>
      <c r="AJ11" s="63">
        <f>국산거래표_new!AJ11/'A표_총거래표(생산자)_new'!AJ$186</f>
        <v>1.9683427693333749E-3</v>
      </c>
      <c r="AK11" s="65">
        <f t="shared" si="0"/>
        <v>0.44891974979935534</v>
      </c>
    </row>
    <row r="12" spans="1:37" ht="13.5" customHeight="1">
      <c r="A12" s="44" t="s">
        <v>49</v>
      </c>
      <c r="B12" s="15" t="s">
        <v>7</v>
      </c>
      <c r="C12" s="63">
        <f>국산거래표_new!C12/'A표_총거래표(생산자)_new'!C$186</f>
        <v>2.046715974193954E-2</v>
      </c>
      <c r="D12" s="63">
        <f>국산거래표_new!D12/'A표_총거래표(생산자)_new'!D$186</f>
        <v>2.3647368103875702E-2</v>
      </c>
      <c r="E12" s="63">
        <f>국산거래표_new!E12/'A표_총거래표(생산자)_new'!E$186</f>
        <v>1.7883116223423846E-3</v>
      </c>
      <c r="F12" s="63">
        <f>국산거래표_new!F12/'A표_총거래표(생산자)_new'!F$186</f>
        <v>1.6162879706664236E-3</v>
      </c>
      <c r="G12" s="63">
        <f>국산거래표_new!G12/'A표_총거래표(생산자)_new'!G$186</f>
        <v>4.2534381072849362E-3</v>
      </c>
      <c r="H12" s="63">
        <f>국산거래표_new!H12/'A표_총거래표(생산자)_new'!H$186</f>
        <v>2.7225358232824431E-2</v>
      </c>
      <c r="I12" s="168">
        <f>국산거래표_new!I12/'A표_총거래표(생산자)_new'!I$186</f>
        <v>4.9248688986443169E-2</v>
      </c>
      <c r="J12" s="168">
        <f>국산거래표_new!J12/'A표_총거래표(생산자)_new'!J$186</f>
        <v>1.5774265595619803E-2</v>
      </c>
      <c r="K12" s="63">
        <f>국산거래표_new!K12/'A표_총거래표(생산자)_new'!K$186</f>
        <v>4.4420184622803977E-2</v>
      </c>
      <c r="L12" s="63">
        <f>국산거래표_new!L12/'A표_총거래표(생산자)_new'!L$186</f>
        <v>2.6445302154394544E-3</v>
      </c>
      <c r="M12" s="63">
        <f>국산거래표_new!M12/'A표_총거래표(생산자)_new'!M$186</f>
        <v>3.2987228575216466E-3</v>
      </c>
      <c r="N12" s="63">
        <f>국산거래표_new!N12/'A표_총거래표(생산자)_new'!N$186</f>
        <v>2.4105744662889699E-4</v>
      </c>
      <c r="O12" s="63">
        <f>국산거래표_new!O12/'A표_총거래표(생산자)_new'!O$186</f>
        <v>2.6996847016251889E-3</v>
      </c>
      <c r="P12" s="63">
        <f>국산거래표_new!P12/'A표_총거래표(생산자)_new'!P$186</f>
        <v>1.6545526158832577E-3</v>
      </c>
      <c r="Q12" s="63">
        <f>국산거래표_new!Q12/'A표_총거래표(생산자)_new'!Q$186</f>
        <v>1.2122567712510017E-3</v>
      </c>
      <c r="R12" s="63">
        <f>국산거래표_new!R12/'A표_총거래표(생산자)_new'!R$186</f>
        <v>1.5147908828128571E-3</v>
      </c>
      <c r="S12" s="63">
        <f>국산거래표_new!S12/'A표_총거래표(생산자)_new'!S$186</f>
        <v>7.2826782008278733E-3</v>
      </c>
      <c r="T12" s="63">
        <f>국산거래표_new!T12/'A표_총거래표(생산자)_new'!T$186</f>
        <v>1.62848334770581E-2</v>
      </c>
      <c r="U12" s="63">
        <f>국산거래표_new!U12/'A표_총거래표(생산자)_new'!U$186</f>
        <v>1.6236074434280996E-2</v>
      </c>
      <c r="V12" s="63">
        <f>국산거래표_new!V12/'A표_총거래표(생산자)_new'!V$186</f>
        <v>1.3636434068415002E-2</v>
      </c>
      <c r="W12" s="63">
        <f>국산거래표_new!W12/'A표_총거래표(생산자)_new'!W$186</f>
        <v>2.2287963374650967E-2</v>
      </c>
      <c r="X12" s="63">
        <f>국산거래표_new!X12/'A표_총거래표(생산자)_new'!X$186</f>
        <v>7.2136896010221649E-2</v>
      </c>
      <c r="Y12" s="63">
        <f>국산거래표_new!Y12/'A표_총거래표(생산자)_new'!Y$186</f>
        <v>1.3188416638045111E-2</v>
      </c>
      <c r="Z12" s="63">
        <f>국산거래표_new!Z12/'A표_총거래표(생산자)_new'!Z$186</f>
        <v>1.8027664755237674E-3</v>
      </c>
      <c r="AA12" s="63">
        <f>국산거래표_new!AA12/'A표_총거래표(생산자)_new'!AA$186</f>
        <v>6.0517915090319355E-4</v>
      </c>
      <c r="AB12" s="63">
        <f>국산거래표_new!AB12/'A표_총거래표(생산자)_new'!AB$186</f>
        <v>3.356312687863244E-3</v>
      </c>
      <c r="AC12" s="63">
        <f>국산거래표_new!AC12/'A표_총거래표(생산자)_new'!AC$186</f>
        <v>1.1787783793412431E-2</v>
      </c>
      <c r="AD12" s="63">
        <f>국산거래표_new!AD12/'A표_총거래표(생산자)_new'!AD$186</f>
        <v>6.1967228600439735E-3</v>
      </c>
      <c r="AE12" s="63">
        <f>국산거래표_new!AE12/'A표_총거래표(생산자)_new'!AE$186</f>
        <v>1.6457111990986734E-2</v>
      </c>
      <c r="AF12" s="63">
        <f>국산거래표_new!AF12/'A표_총거래표(생산자)_new'!AF$186</f>
        <v>1.4153804563081358E-2</v>
      </c>
      <c r="AG12" s="63">
        <f>국산거래표_new!AG12/'A표_총거래표(생산자)_new'!AG$186</f>
        <v>6.7999946137644518E-3</v>
      </c>
      <c r="AH12" s="63">
        <f>국산거래표_new!AH12/'A표_총거래표(생산자)_new'!AH$186</f>
        <v>5.2846171378978617E-3</v>
      </c>
      <c r="AI12" s="63">
        <f>국산거래표_new!AI12/'A표_총거래표(생산자)_new'!AI$186</f>
        <v>1.1179126401966468E-2</v>
      </c>
      <c r="AJ12" s="63">
        <f>국산거래표_new!AJ12/'A표_총거래표(생산자)_new'!AJ$186</f>
        <v>4.4866900307353108E-3</v>
      </c>
      <c r="AK12" s="65">
        <f t="shared" si="0"/>
        <v>0.44487006438464111</v>
      </c>
    </row>
    <row r="13" spans="1:37" s="164" customFormat="1" ht="13.5" customHeight="1">
      <c r="A13" s="169" t="s">
        <v>50</v>
      </c>
      <c r="B13" s="170" t="s">
        <v>8</v>
      </c>
      <c r="C13" s="168">
        <f>국산거래표_new!C13/'A표_총거래표(생산자)_new'!C$186</f>
        <v>6.0925250516286431E-2</v>
      </c>
      <c r="D13" s="168">
        <f>국산거래표_new!D13/'A표_총거래표(생산자)_new'!D$186</f>
        <v>4.0842502197517408E-2</v>
      </c>
      <c r="E13" s="168">
        <f>국산거래표_new!E13/'A표_총거래표(생산자)_new'!E$186</f>
        <v>2.3312538614274583E-2</v>
      </c>
      <c r="F13" s="168">
        <f>국산거래표_new!F13/'A표_총거래표(생산자)_new'!F$186</f>
        <v>7.7472526194371547E-2</v>
      </c>
      <c r="G13" s="168">
        <f>국산거래표_new!G13/'A표_총거래표(생산자)_new'!G$186</f>
        <v>6.2713655638092849E-2</v>
      </c>
      <c r="H13" s="168">
        <f>국산거래표_new!H13/'A표_총거래표(생산자)_new'!H$186</f>
        <v>1.6059461363070307E-2</v>
      </c>
      <c r="I13" s="168">
        <f>국산거래표_new!I13/'A표_총거래표(생산자)_new'!I$186</f>
        <v>0.20031243589326303</v>
      </c>
      <c r="J13" s="168">
        <f>국산거래표_new!J13/'A표_총거래표(생산자)_new'!J$186</f>
        <v>8.8549725528125373E-2</v>
      </c>
      <c r="K13" s="168">
        <f>국산거래표_new!K13/'A표_총거래표(생산자)_new'!K$186</f>
        <v>3.4463932849130699E-2</v>
      </c>
      <c r="L13" s="168">
        <f>국산거래표_new!L13/'A표_총거래표(생산자)_new'!L$186</f>
        <v>8.5768067186103233E-3</v>
      </c>
      <c r="M13" s="168">
        <f>국산거래표_new!M13/'A표_총거래표(생산자)_new'!M$186</f>
        <v>5.7687779698131686E-2</v>
      </c>
      <c r="N13" s="168">
        <f>국산거래표_new!N13/'A표_총거래표(생산자)_new'!N$186</f>
        <v>3.0886548250348075E-2</v>
      </c>
      <c r="O13" s="168">
        <f>국산거래표_new!O13/'A표_총거래표(생산자)_new'!O$186</f>
        <v>5.5669064322820538E-2</v>
      </c>
      <c r="P13" s="168">
        <f>국산거래표_new!P13/'A표_총거래표(생산자)_new'!P$186</f>
        <v>2.7240455354625714E-2</v>
      </c>
      <c r="Q13" s="168">
        <f>국산거래표_new!Q13/'A표_총거래표(생산자)_new'!Q$186</f>
        <v>5.8118876543877374E-2</v>
      </c>
      <c r="R13" s="168">
        <f>국산거래표_new!R13/'A표_총거래표(생산자)_new'!R$186</f>
        <v>8.7337465836999847E-2</v>
      </c>
      <c r="S13" s="168">
        <f>국산거래표_new!S13/'A표_총거래표(생산자)_new'!S$186</f>
        <v>1.8466403171888669E-2</v>
      </c>
      <c r="T13" s="168">
        <f>국산거래표_new!T13/'A표_총거래표(생산자)_new'!T$186</f>
        <v>1.5722744797252417E-2</v>
      </c>
      <c r="U13" s="168">
        <f>국산거래표_new!U13/'A표_총거래표(생산자)_new'!U$186</f>
        <v>4.6688988410936411E-2</v>
      </c>
      <c r="V13" s="168">
        <f>국산거래표_new!V13/'A표_총거래표(생산자)_new'!V$186</f>
        <v>3.4629424884677712E-2</v>
      </c>
      <c r="W13" s="168">
        <f>국산거래표_new!W13/'A표_총거래표(생산자)_new'!W$186</f>
        <v>1.2548609966786349E-2</v>
      </c>
      <c r="X13" s="168">
        <f>국산거래표_new!X13/'A표_총거래표(생산자)_new'!X$186</f>
        <v>6.1522614451099819E-3</v>
      </c>
      <c r="Y13" s="168">
        <f>국산거래표_new!Y13/'A표_총거래표(생산자)_new'!Y$186</f>
        <v>2.1164990642260805E-2</v>
      </c>
      <c r="Z13" s="168">
        <f>국산거래표_new!Z13/'A표_총거래표(생산자)_new'!Z$186</f>
        <v>3.5031083315102719E-3</v>
      </c>
      <c r="AA13" s="168">
        <f>국산거래표_new!AA13/'A표_총거래표(생산자)_new'!AA$186</f>
        <v>5.180137828510031E-4</v>
      </c>
      <c r="AB13" s="168">
        <f>국산거래표_new!AB13/'A표_총거래표(생산자)_new'!AB$186</f>
        <v>1.0203057903157772E-3</v>
      </c>
      <c r="AC13" s="168">
        <f>국산거래표_new!AC13/'A표_총거래표(생산자)_new'!AC$186</f>
        <v>2.6275554041515246E-2</v>
      </c>
      <c r="AD13" s="168">
        <f>국산거래표_new!AD13/'A표_총거래표(생산자)_new'!AD$186</f>
        <v>2.65636038402371E-2</v>
      </c>
      <c r="AE13" s="168">
        <f>국산거래표_new!AE13/'A표_총거래표(생산자)_new'!AE$186</f>
        <v>7.9253414307499295E-3</v>
      </c>
      <c r="AF13" s="168">
        <f>국산거래표_new!AF13/'A표_총거래표(생산자)_new'!AF$186</f>
        <v>8.0736265292580458E-3</v>
      </c>
      <c r="AG13" s="168">
        <f>국산거래표_new!AG13/'A표_총거래표(생산자)_new'!AG$186</f>
        <v>0.10696223957462435</v>
      </c>
      <c r="AH13" s="168">
        <f>국산거래표_new!AH13/'A표_총거래표(생산자)_new'!AH$186</f>
        <v>1.1290316834782991E-2</v>
      </c>
      <c r="AI13" s="168">
        <f>국산거래표_new!AI13/'A표_총거래표(생산자)_new'!AI$186</f>
        <v>3.998727508904025E-2</v>
      </c>
      <c r="AJ13" s="168">
        <f>국산거래표_new!AJ13/'A표_총거래표(생산자)_new'!AJ$186</f>
        <v>6.3494411054648182E-3</v>
      </c>
      <c r="AK13" s="171">
        <f t="shared" si="0"/>
        <v>1.3240112751888078</v>
      </c>
    </row>
    <row r="14" spans="1:37" s="164" customFormat="1" ht="13.5" customHeight="1">
      <c r="A14" s="169"/>
      <c r="B14" s="170" t="s">
        <v>144</v>
      </c>
      <c r="C14" s="168">
        <f>국산거래표_new!C14/'A표_총거래표(생산자)_new'!C$186</f>
        <v>1.2611260881343702E-7</v>
      </c>
      <c r="D14" s="168">
        <f>국산거래표_new!D14/'A표_총거래표(생산자)_new'!D$186</f>
        <v>8.4542196526882763E-8</v>
      </c>
      <c r="E14" s="168">
        <f>국산거래표_new!E14/'A표_총거래표(생산자)_new'!E$186</f>
        <v>4.8255937198390974E-8</v>
      </c>
      <c r="F14" s="168">
        <f>국산거래표_new!F14/'A표_총거래표(생산자)_new'!F$186</f>
        <v>1.6036474707851649E-7</v>
      </c>
      <c r="G14" s="168">
        <f>국산거래표_new!G14/'A표_총거래표(생산자)_new'!G$186</f>
        <v>1.2981452934088776E-7</v>
      </c>
      <c r="H14" s="168">
        <f>국산거래표_new!H14/'A표_총거래표(생산자)_new'!H$186</f>
        <v>3.3242383929040911E-8</v>
      </c>
      <c r="I14" s="168">
        <f>국산거래표_new!I14/'A표_총거래표(생산자)_new'!I$186</f>
        <v>4.1463920905875328E-7</v>
      </c>
      <c r="J14" s="168">
        <f>국산거래표_new!J14/'A표_총거래표(생산자)_new'!J$186</f>
        <v>0.22000019019551967</v>
      </c>
      <c r="K14" s="168">
        <f>국산거래표_new!K14/'A표_총거래표(생산자)_new'!K$186</f>
        <v>7.1338836438811614E-8</v>
      </c>
      <c r="L14" s="168">
        <f>국산거래표_new!L14/'A표_총거래표(생산자)_new'!L$186</f>
        <v>1.775361547809178E-8</v>
      </c>
      <c r="M14" s="168">
        <f>국산거래표_new!M14/'A표_총거래표(생산자)_new'!M$186</f>
        <v>1.1941118555501764E-7</v>
      </c>
      <c r="N14" s="168">
        <f>국산거래표_new!N14/'A표_총거래표(생산자)_new'!N$186</f>
        <v>6.3933806493782747E-8</v>
      </c>
      <c r="O14" s="168">
        <f>국산거래표_new!O14/'A표_총거래표(생산자)_new'!O$186</f>
        <v>1.1523253285724615E-7</v>
      </c>
      <c r="P14" s="168">
        <f>국산거래표_new!P14/'A표_총거래표(생산자)_new'!P$186</f>
        <v>5.638655337362088E-8</v>
      </c>
      <c r="Q14" s="168">
        <f>국산거래표_new!Q14/'A표_총거래표(생산자)_new'!Q$186</f>
        <v>1.2030353720572935E-7</v>
      </c>
      <c r="R14" s="168">
        <f>국산거래표_new!R14/'A표_총거래표(생산자)_new'!R$186</f>
        <v>1.8078474147454084E-7</v>
      </c>
      <c r="S14" s="168">
        <f>국산거래표_new!S14/'A표_총거래표(생산자)_new'!S$186</f>
        <v>3.8224648395742998E-8</v>
      </c>
      <c r="T14" s="168">
        <f>국산거래표_new!T14/'A표_총거래표(생산자)_new'!T$186</f>
        <v>3.2545395337510305E-8</v>
      </c>
      <c r="U14" s="168">
        <f>국산거래표_new!U14/'A표_총거래표(생산자)_new'!U$186</f>
        <v>9.6644167754214295E-8</v>
      </c>
      <c r="V14" s="168">
        <f>국산거래표_new!V14/'A표_총거래표(생산자)_new'!V$186</f>
        <v>7.1681397727666738E-8</v>
      </c>
      <c r="W14" s="168">
        <f>국산거래표_new!W14/'A표_총거래표(생산자)_new'!W$186</f>
        <v>2.5975074808608005E-8</v>
      </c>
      <c r="X14" s="168">
        <f>국산거래표_new!X14/'A표_총거래표(생산자)_new'!X$186</f>
        <v>1.2734912607995587E-8</v>
      </c>
      <c r="Y14" s="168">
        <f>국산거래표_new!Y14/'A표_총거래표(생산자)_new'!Y$186</f>
        <v>4.3810606649766234E-8</v>
      </c>
      <c r="Z14" s="168">
        <f>국산거래표_new!Z14/'A표_총거래표(생산자)_new'!Z$186</f>
        <v>7.2512813143829323E-9</v>
      </c>
      <c r="AA14" s="168">
        <f>국산거래표_new!AA14/'A표_총거래표(생산자)_new'!AA$186</f>
        <v>1.0722659160702815E-9</v>
      </c>
      <c r="AB14" s="168">
        <f>국산거래표_new!AB14/'A표_총거래표(생산자)_new'!AB$186</f>
        <v>2.1119884434415498E-9</v>
      </c>
      <c r="AC14" s="168">
        <f>국산거래표_new!AC14/'A표_총거래표(생산자)_new'!AC$186</f>
        <v>5.4389249779254153E-8</v>
      </c>
      <c r="AD14" s="168">
        <f>국산거래표_new!AD14/'A표_총거래표(생산자)_new'!AD$186</f>
        <v>5.4985500287494384E-8</v>
      </c>
      <c r="AE14" s="168">
        <f>국산거래표_new!AE14/'A표_총거래표(생산자)_new'!AE$186</f>
        <v>1.6405110772616526E-8</v>
      </c>
      <c r="AF14" s="168">
        <f>국산거래표_new!AF14/'A표_총거래표(생산자)_new'!AF$186</f>
        <v>1.6712054452987885E-8</v>
      </c>
      <c r="AG14" s="168">
        <f>국산거래표_new!AG14/'A표_총거래표(생산자)_new'!AG$186</f>
        <v>2.2140716637148338E-7</v>
      </c>
      <c r="AH14" s="168">
        <f>국산거래표_new!AH14/'A표_총거래표(생산자)_new'!AH$186</f>
        <v>2.3370462957458474E-8</v>
      </c>
      <c r="AI14" s="168">
        <f>국산거래표_new!AI14/'A표_총거래표(생산자)_new'!AI$186</f>
        <v>8.2771913748165353E-8</v>
      </c>
      <c r="AJ14" s="168">
        <f>국산거래표_new!AJ14/'A표_총거래표(생산자)_new'!AJ$186</f>
        <v>1.3143065896846629E-8</v>
      </c>
      <c r="AK14" s="171"/>
    </row>
    <row r="15" spans="1:37" ht="13.5" customHeight="1">
      <c r="A15" s="44" t="s">
        <v>51</v>
      </c>
      <c r="B15" s="15" t="s">
        <v>9</v>
      </c>
      <c r="C15" s="63">
        <f>국산거래표_new!C15/'A표_총거래표(생산자)_new'!C$186</f>
        <v>4.9075128447050509E-4</v>
      </c>
      <c r="D15" s="63">
        <f>국산거래표_new!D15/'A표_총거래표(생산자)_new'!D$186</f>
        <v>1.6725500352288713E-3</v>
      </c>
      <c r="E15" s="63">
        <f>국산거래표_new!E15/'A표_총거래표(생산자)_new'!E$186</f>
        <v>4.7529990483014756E-3</v>
      </c>
      <c r="F15" s="63">
        <f>국산거래표_new!F15/'A표_총거래표(생산자)_new'!F$186</f>
        <v>4.2699455043893438E-4</v>
      </c>
      <c r="G15" s="63">
        <f>국산거래표_new!G15/'A표_총거래표(생산자)_new'!G$186</f>
        <v>1.0342823308872962E-3</v>
      </c>
      <c r="H15" s="63">
        <f>국산거래표_new!H15/'A표_총거래표(생산자)_new'!H$186</f>
        <v>7.258147215311279E-4</v>
      </c>
      <c r="I15" s="168">
        <f>국산거래표_new!I15/'A표_총거래표(생산자)_new'!I$186</f>
        <v>2.7475554511391057E-3</v>
      </c>
      <c r="J15" s="168">
        <f>국산거래표_new!J15/'A표_총거래표(생산자)_new'!J$186</f>
        <v>1.3292476016244308E-3</v>
      </c>
      <c r="K15" s="63">
        <f>국산거래표_new!K15/'A표_총거래표(생산자)_new'!K$186</f>
        <v>0.1185680223179866</v>
      </c>
      <c r="L15" s="63">
        <f>국산거래표_new!L15/'A표_총거래표(생산자)_new'!L$186</f>
        <v>1.4737936880083114E-2</v>
      </c>
      <c r="M15" s="63">
        <f>국산거래표_new!M15/'A표_총거래표(생산자)_new'!M$186</f>
        <v>3.7405535675623285E-3</v>
      </c>
      <c r="N15" s="63">
        <f>국산거래표_new!N15/'A표_총거래표(생산자)_new'!N$186</f>
        <v>3.9513434488304298E-3</v>
      </c>
      <c r="O15" s="63">
        <f>국산거래표_new!O15/'A표_총거래표(생산자)_new'!O$186</f>
        <v>5.1686823353461649E-3</v>
      </c>
      <c r="P15" s="63">
        <f>국산거래표_new!P15/'A표_총거래표(생산자)_new'!P$186</f>
        <v>1.9154654902679607E-3</v>
      </c>
      <c r="Q15" s="63">
        <f>국산거래표_new!Q15/'A표_총거래표(생산자)_new'!Q$186</f>
        <v>5.1154806457724255E-3</v>
      </c>
      <c r="R15" s="63">
        <f>국산거래표_new!R15/'A표_총거래표(생산자)_new'!R$186</f>
        <v>6.6546387693801968E-3</v>
      </c>
      <c r="S15" s="63">
        <f>국산거래표_new!S15/'A표_총거래표(생산자)_new'!S$186</f>
        <v>1.3840167020824918E-3</v>
      </c>
      <c r="T15" s="63">
        <f>국산거래표_new!T15/'A표_총거래표(생산자)_new'!T$186</f>
        <v>-1.0704330466749473E-3</v>
      </c>
      <c r="U15" s="63">
        <f>국산거래표_new!U15/'A표_총거래표(생산자)_new'!U$186</f>
        <v>4.4577839384751126E-3</v>
      </c>
      <c r="V15" s="63">
        <f>국산거래표_new!V15/'A표_총거래표(생산자)_new'!V$186</f>
        <v>8.1019038725411621E-2</v>
      </c>
      <c r="W15" s="63">
        <f>국산거래표_new!W15/'A표_총거래표(생산자)_new'!W$186</f>
        <v>2.7136210337933692E-4</v>
      </c>
      <c r="X15" s="63">
        <f>국산거래표_new!X15/'A표_총거래표(생산자)_new'!X$186</f>
        <v>3.4055515091451351E-4</v>
      </c>
      <c r="Y15" s="63">
        <f>국산거래표_new!Y15/'A표_총거래표(생산자)_new'!Y$186</f>
        <v>2.9586413446816943E-3</v>
      </c>
      <c r="Z15" s="63">
        <f>국산거래표_new!Z15/'A표_총거래표(생산자)_new'!Z$186</f>
        <v>6.2523242657010693E-5</v>
      </c>
      <c r="AA15" s="63">
        <f>국산거래표_new!AA15/'A표_총거래표(생산자)_new'!AA$186</f>
        <v>1.6159818771702739E-5</v>
      </c>
      <c r="AB15" s="63">
        <f>국산거래표_new!AB15/'A표_총거래표(생산자)_new'!AB$186</f>
        <v>3.0956058830668669E-4</v>
      </c>
      <c r="AC15" s="63">
        <f>국산거래표_new!AC15/'A표_총거래표(생산자)_new'!AC$186</f>
        <v>6.2426453918319313E-4</v>
      </c>
      <c r="AD15" s="63">
        <f>국산거래표_new!AD15/'A표_총거래표(생산자)_new'!AD$186</f>
        <v>1.5667833286337595E-3</v>
      </c>
      <c r="AE15" s="63">
        <f>국산거래표_new!AE15/'A표_총거래표(생산자)_new'!AE$186</f>
        <v>1.6322082431776564E-3</v>
      </c>
      <c r="AF15" s="63">
        <f>국산거래표_new!AF15/'A표_총거래표(생산자)_new'!AF$186</f>
        <v>9.188150937640213E-4</v>
      </c>
      <c r="AG15" s="63">
        <f>국산거래표_new!AG15/'A표_총거래표(생산자)_new'!AG$186</f>
        <v>3.0237570724172571E-4</v>
      </c>
      <c r="AH15" s="63">
        <f>국산거래표_new!AH15/'A표_총거래표(생산자)_new'!AH$186</f>
        <v>2.1903036198154457E-3</v>
      </c>
      <c r="AI15" s="63">
        <f>국산거래표_new!AI15/'A표_총거래표(생산자)_new'!AI$186</f>
        <v>4.2509744012002922E-4</v>
      </c>
      <c r="AJ15" s="63">
        <f>국산거래표_new!AJ15/'A표_총거래표(생산자)_new'!AJ$186</f>
        <v>9.0996759136877418E-4</v>
      </c>
      <c r="AK15" s="65">
        <f t="shared" si="0"/>
        <v>0.27135134261016081</v>
      </c>
    </row>
    <row r="16" spans="1:37" ht="13.5" customHeight="1">
      <c r="A16" s="44" t="s">
        <v>52</v>
      </c>
      <c r="B16" s="15" t="s">
        <v>10</v>
      </c>
      <c r="C16" s="63">
        <f>국산거래표_new!C16/'A표_총거래표(생산자)_new'!C$186</f>
        <v>1.2245897756562277E-3</v>
      </c>
      <c r="D16" s="63">
        <f>국산거래표_new!D16/'A표_총거래표(생산자)_new'!D$186</f>
        <v>1.5373793061498739E-3</v>
      </c>
      <c r="E16" s="63">
        <f>국산거래표_new!E16/'A표_총거래표(생산자)_new'!E$186</f>
        <v>1.4385815352503328E-4</v>
      </c>
      <c r="F16" s="63">
        <f>국산거래표_new!F16/'A표_총거래표(생산자)_new'!F$186</f>
        <v>-2.8734261755954727E-5</v>
      </c>
      <c r="G16" s="63">
        <f>국산거래표_new!G16/'A표_총거래표(생산자)_new'!G$186</f>
        <v>8.0866292814709339E-4</v>
      </c>
      <c r="H16" s="63">
        <f>국산거래표_new!H16/'A표_총거래표(생산자)_new'!H$186</f>
        <v>3.1039521617460823E-3</v>
      </c>
      <c r="I16" s="168">
        <f>국산거래표_new!I16/'A표_총거래표(생산자)_new'!I$186</f>
        <v>3.8046729534520099E-3</v>
      </c>
      <c r="J16" s="168">
        <f>국산거래표_new!J16/'A표_총거래표(생산자)_new'!J$186</f>
        <v>1.2194873519174388E-3</v>
      </c>
      <c r="K16" s="63">
        <f>국산거래표_new!K16/'A표_총거래표(생산자)_new'!K$186</f>
        <v>1.7324688096158294E-2</v>
      </c>
      <c r="L16" s="63">
        <f>국산거래표_new!L16/'A표_총거래표(생산자)_new'!L$186</f>
        <v>0.17600630168627357</v>
      </c>
      <c r="M16" s="63">
        <f>국산거래표_new!M16/'A표_총거래표(생산자)_new'!M$186</f>
        <v>0.16136989750680875</v>
      </c>
      <c r="N16" s="63">
        <f>국산거래표_new!N16/'A표_총거래표(생산자)_new'!N$186</f>
        <v>1.250761799753101E-2</v>
      </c>
      <c r="O16" s="63">
        <f>국산거래표_new!O16/'A표_총거래표(생산자)_new'!O$186</f>
        <v>8.0660116497663928E-2</v>
      </c>
      <c r="P16" s="63">
        <f>국산거래표_new!P16/'A표_총거래표(생산자)_new'!P$186</f>
        <v>6.4634133001236715E-2</v>
      </c>
      <c r="Q16" s="63">
        <f>국산거래표_new!Q16/'A표_총거래표(생산자)_new'!Q$186</f>
        <v>6.0220729357351212E-2</v>
      </c>
      <c r="R16" s="63">
        <f>국산거래표_new!R16/'A표_총거래표(생산자)_new'!R$186</f>
        <v>5.1989497108982402E-2</v>
      </c>
      <c r="S16" s="63">
        <f>국산거래표_new!S16/'A표_총거래표(생산자)_new'!S$186</f>
        <v>1.0198259752092667E-2</v>
      </c>
      <c r="T16" s="63">
        <f>국산거래표_new!T16/'A표_총거래표(생산자)_new'!T$186</f>
        <v>2.4979693932177735E-3</v>
      </c>
      <c r="U16" s="63">
        <f>국산거래표_new!U16/'A표_총거래표(생산자)_new'!U$186</f>
        <v>3.8896844949953373E-3</v>
      </c>
      <c r="V16" s="63">
        <f>국산거래표_new!V16/'A표_총거래표(생산자)_new'!V$186</f>
        <v>6.8769649886554637E-2</v>
      </c>
      <c r="W16" s="63">
        <f>국산거래표_new!W16/'A표_총거래표(생산자)_new'!W$186</f>
        <v>-1.8260294710260978E-6</v>
      </c>
      <c r="X16" s="63">
        <f>국산거래표_new!X16/'A표_총거래표(생산자)_new'!X$186</f>
        <v>6.4855377909240266E-5</v>
      </c>
      <c r="Y16" s="63">
        <f>국산거래표_new!Y16/'A표_총거래표(생산자)_new'!Y$186</f>
        <v>1.2191164539762264E-4</v>
      </c>
      <c r="Z16" s="63">
        <f>국산거래표_new!Z16/'A표_총거래표(생산자)_new'!Z$186</f>
        <v>-9.7277718592151749E-5</v>
      </c>
      <c r="AA16" s="63">
        <f>국산거래표_new!AA16/'A표_총거래표(생산자)_new'!AA$186</f>
        <v>-2.9877478436427897E-7</v>
      </c>
      <c r="AB16" s="63">
        <f>국산거래표_new!AB16/'A표_총거래표(생산자)_new'!AB$186</f>
        <v>-1.9719578252523601E-6</v>
      </c>
      <c r="AC16" s="63">
        <f>국산거래표_new!AC16/'A표_총거래표(생산자)_new'!AC$186</f>
        <v>1.0655888229748063E-3</v>
      </c>
      <c r="AD16" s="63">
        <f>국산거래표_new!AD16/'A표_총거래표(생산자)_new'!AD$186</f>
        <v>6.7423848262775005E-6</v>
      </c>
      <c r="AE16" s="63">
        <f>국산거래표_new!AE16/'A표_총거래표(생산자)_new'!AE$186</f>
        <v>1.5250130101283919E-5</v>
      </c>
      <c r="AF16" s="63">
        <f>국산거래표_new!AF16/'A표_총거래표(생산자)_new'!AF$186</f>
        <v>-1.2749208160268139E-4</v>
      </c>
      <c r="AG16" s="63">
        <f>국산거래표_new!AG16/'A표_총거래표(생산자)_new'!AG$186</f>
        <v>7.9296849673236793E-4</v>
      </c>
      <c r="AH16" s="63">
        <f>국산거래표_new!AH16/'A표_총거래표(생산자)_new'!AH$186</f>
        <v>-7.4836996536308253E-5</v>
      </c>
      <c r="AI16" s="63">
        <f>국산거래표_new!AI16/'A표_총거래표(생산자)_new'!AI$186</f>
        <v>-3.6899457801009225E-4</v>
      </c>
      <c r="AJ16" s="63">
        <f>국산거래표_new!AJ16/'A표_총거래표(생산자)_new'!AJ$186</f>
        <v>1.8199351827375484E-3</v>
      </c>
      <c r="AK16" s="65">
        <f t="shared" si="0"/>
        <v>0.72509696705156146</v>
      </c>
    </row>
    <row r="17" spans="1:37" ht="13.5" customHeight="1">
      <c r="A17" s="44" t="s">
        <v>53</v>
      </c>
      <c r="B17" s="15" t="s">
        <v>54</v>
      </c>
      <c r="C17" s="63">
        <f>국산거래표_new!C17/'A표_총거래표(생산자)_new'!C$186</f>
        <v>1.0304710387414042E-3</v>
      </c>
      <c r="D17" s="63">
        <f>국산거래표_new!D17/'A표_총거래표(생산자)_new'!D$186</f>
        <v>2.110090175772637E-2</v>
      </c>
      <c r="E17" s="63">
        <f>국산거래표_new!E17/'A표_총거래표(생산자)_new'!E$186</f>
        <v>1.2155726135940884E-2</v>
      </c>
      <c r="F17" s="63">
        <f>국산거래표_new!F17/'A표_총거래표(생산자)_new'!F$186</f>
        <v>1.6606578897370025E-3</v>
      </c>
      <c r="G17" s="63">
        <f>국산거래표_new!G17/'A표_총거래표(생산자)_new'!G$186</f>
        <v>1.0618679537005706E-2</v>
      </c>
      <c r="H17" s="63">
        <f>국산거래표_new!H17/'A표_총거래표(생산자)_new'!H$186</f>
        <v>1.6268337948060978E-2</v>
      </c>
      <c r="I17" s="168">
        <f>국산거래표_new!I17/'A표_총거래표(생산자)_new'!I$186</f>
        <v>6.1769680168513351E-3</v>
      </c>
      <c r="J17" s="168">
        <f>국산거래표_new!J17/'A표_총거래표(생산자)_new'!J$186</f>
        <v>4.0740742722591176E-3</v>
      </c>
      <c r="K17" s="63">
        <f>국산거래표_new!K17/'A표_총거래표(생산자)_new'!K$186</f>
        <v>1.1539849944293962E-2</v>
      </c>
      <c r="L17" s="63">
        <f>국산거래표_new!L17/'A표_총거래표(생산자)_new'!L$186</f>
        <v>7.717675108366317E-3</v>
      </c>
      <c r="M17" s="63">
        <f>국산거래표_new!M17/'A표_총거래표(생산자)_new'!M$186</f>
        <v>0.13398662101305214</v>
      </c>
      <c r="N17" s="63">
        <f>국산거래표_new!N17/'A표_총거래표(생산자)_new'!N$186</f>
        <v>6.2650890726854945E-3</v>
      </c>
      <c r="O17" s="63">
        <f>국산거래표_new!O17/'A표_총거래표(생산자)_new'!O$186</f>
        <v>2.85164341121017E-2</v>
      </c>
      <c r="P17" s="63">
        <f>국산거래표_new!P17/'A표_총거래표(생산자)_new'!P$186</f>
        <v>0.10234999877859673</v>
      </c>
      <c r="Q17" s="63">
        <f>국산거래표_new!Q17/'A표_총거래표(생산자)_new'!Q$186</f>
        <v>5.0482706115070212E-2</v>
      </c>
      <c r="R17" s="63">
        <f>국산거래표_new!R17/'A표_총거래표(생산자)_new'!R$186</f>
        <v>4.5872288994031736E-2</v>
      </c>
      <c r="S17" s="63">
        <f>국산거래표_new!S17/'A표_총거래표(생산자)_new'!S$186</f>
        <v>1.1683596360830269E-2</v>
      </c>
      <c r="T17" s="63">
        <f>국산거래표_new!T17/'A표_총거래표(생산자)_new'!T$186</f>
        <v>5.2668995271587067E-3</v>
      </c>
      <c r="U17" s="63">
        <f>국산거래표_new!U17/'A표_총거래표(생산자)_new'!U$186</f>
        <v>1.3067507324334399E-2</v>
      </c>
      <c r="V17" s="63">
        <f>국산거래표_new!V17/'A표_총거래표(생산자)_new'!V$186</f>
        <v>7.2640657321640087E-2</v>
      </c>
      <c r="W17" s="63">
        <f>국산거래표_new!W17/'A표_총거래표(생산자)_new'!W$186</f>
        <v>2.6871234293422636E-3</v>
      </c>
      <c r="X17" s="63">
        <f>국산거래표_new!X17/'A표_총거래표(생산자)_new'!X$186</f>
        <v>3.3058386823575123E-3</v>
      </c>
      <c r="Y17" s="63">
        <f>국산거래표_new!Y17/'A표_총거래표(생산자)_new'!Y$186</f>
        <v>6.8008337190412311E-3</v>
      </c>
      <c r="Z17" s="63">
        <f>국산거래표_new!Z17/'A표_총거래표(생산자)_new'!Z$186</f>
        <v>1.1391653273993252E-3</v>
      </c>
      <c r="AA17" s="63">
        <f>국산거래표_new!AA17/'A표_총거래표(생산자)_new'!AA$186</f>
        <v>5.9002823828738758E-4</v>
      </c>
      <c r="AB17" s="63">
        <f>국산거래표_new!AB17/'A표_총거래표(생산자)_new'!AB$186</f>
        <v>7.3104082027382496E-4</v>
      </c>
      <c r="AC17" s="63">
        <f>국산거래표_new!AC17/'A표_총거래표(생산자)_new'!AC$186</f>
        <v>3.1106337738001418E-3</v>
      </c>
      <c r="AD17" s="63">
        <f>국산거래표_new!AD17/'A표_총거래표(생산자)_new'!AD$186</f>
        <v>7.5477983806025092E-3</v>
      </c>
      <c r="AE17" s="63">
        <f>국산거래표_new!AE17/'A표_총거래표(생산자)_new'!AE$186</f>
        <v>7.8120309545156152E-3</v>
      </c>
      <c r="AF17" s="63">
        <f>국산거래표_new!AF17/'A표_총거래표(생산자)_new'!AF$186</f>
        <v>3.0183751939245789E-3</v>
      </c>
      <c r="AG17" s="63">
        <f>국산거래표_new!AG17/'A표_총거래표(생산자)_new'!AG$186</f>
        <v>1.6130370044101468E-3</v>
      </c>
      <c r="AH17" s="63">
        <f>국산거래표_new!AH17/'A표_총거래표(생산자)_new'!AH$186</f>
        <v>3.9134401480764814E-3</v>
      </c>
      <c r="AI17" s="63">
        <f>국산거래표_new!AI17/'A표_총거래표(생산자)_new'!AI$186</f>
        <v>1.1374604067653581E-2</v>
      </c>
      <c r="AJ17" s="63">
        <f>국산거래표_new!AJ17/'A표_총거래표(생산자)_new'!AJ$186</f>
        <v>3.1462408358315279E-3</v>
      </c>
      <c r="AK17" s="65">
        <f t="shared" si="0"/>
        <v>0.61926533084400082</v>
      </c>
    </row>
    <row r="18" spans="1:37" ht="13.5" customHeight="1">
      <c r="A18" s="44" t="s">
        <v>55</v>
      </c>
      <c r="B18" s="15" t="s">
        <v>56</v>
      </c>
      <c r="C18" s="63">
        <f>국산거래표_new!C18/'A표_총거래표(생산자)_new'!C$186</f>
        <v>2.4424965095282826E-3</v>
      </c>
      <c r="D18" s="63">
        <f>국산거래표_new!D18/'A표_총거래표(생산자)_new'!D$186</f>
        <v>2.4959650598684303E-3</v>
      </c>
      <c r="E18" s="63">
        <f>국산거래표_new!E18/'A표_총거래표(생산자)_new'!E$186</f>
        <v>9.8081117324824978E-4</v>
      </c>
      <c r="F18" s="63">
        <f>국산거래표_new!F18/'A표_총거래표(생산자)_new'!F$186</f>
        <v>5.8262421517765945E-4</v>
      </c>
      <c r="G18" s="63">
        <f>국산거래표_new!G18/'A표_총거래표(생산자)_new'!G$186</f>
        <v>3.9679772551077051E-3</v>
      </c>
      <c r="H18" s="63">
        <f>국산거래표_new!H18/'A표_총거래표(생산자)_new'!H$186</f>
        <v>4.5987843226421559E-3</v>
      </c>
      <c r="I18" s="168">
        <f>국산거래표_new!I18/'A표_총거래표(생산자)_new'!I$186</f>
        <v>1.6526507051490558E-3</v>
      </c>
      <c r="J18" s="168">
        <f>국산거래표_new!J18/'A표_총거래표(생산자)_new'!J$186</f>
        <v>1.0678953648008745E-3</v>
      </c>
      <c r="K18" s="63">
        <f>국산거래표_new!K18/'A표_총거래표(생산자)_new'!K$186</f>
        <v>1.7188128227532784E-3</v>
      </c>
      <c r="L18" s="63">
        <f>국산거래표_new!L18/'A표_총거래표(생산자)_new'!L$186</f>
        <v>2.3829552687039011E-3</v>
      </c>
      <c r="M18" s="63">
        <f>국산거래표_new!M18/'A표_총거래표(생산자)_new'!M$186</f>
        <v>8.0616257764833023E-3</v>
      </c>
      <c r="N18" s="63">
        <f>국산거래표_new!N18/'A표_총거래표(생산자)_new'!N$186</f>
        <v>0.14297275283839336</v>
      </c>
      <c r="O18" s="63">
        <f>국산거래표_new!O18/'A표_총거래표(생산자)_new'!O$186</f>
        <v>4.8528328863390313E-2</v>
      </c>
      <c r="P18" s="63">
        <f>국산거래표_new!P18/'A표_총거래표(생산자)_new'!P$186</f>
        <v>3.4499232446026311E-2</v>
      </c>
      <c r="Q18" s="63">
        <f>국산거래표_new!Q18/'A표_총거래표(생산자)_new'!Q$186</f>
        <v>1.8566264380846249E-2</v>
      </c>
      <c r="R18" s="63">
        <f>국산거래표_new!R18/'A표_총거래표(생산자)_new'!R$186</f>
        <v>4.7639055560724673E-3</v>
      </c>
      <c r="S18" s="63">
        <f>국산거래표_new!S18/'A표_총거래표(생산자)_new'!S$186</f>
        <v>2.2724862942306124E-2</v>
      </c>
      <c r="T18" s="63">
        <f>국산거래표_new!T18/'A표_총거래표(생산자)_new'!T$186</f>
        <v>6.9397964646344774E-3</v>
      </c>
      <c r="U18" s="63">
        <f>국산거래표_new!U18/'A표_총거래표(생산자)_new'!U$186</f>
        <v>1.0584650070743285E-2</v>
      </c>
      <c r="V18" s="63">
        <f>국산거래표_new!V18/'A표_총거래표(생산자)_new'!V$186</f>
        <v>2.6210596611222639E-3</v>
      </c>
      <c r="W18" s="63">
        <f>국산거래표_new!W18/'A표_총거래표(생산자)_new'!W$186</f>
        <v>7.4891244307731444E-3</v>
      </c>
      <c r="X18" s="63">
        <f>국산거래표_new!X18/'A표_총거래표(생산자)_new'!X$186</f>
        <v>3.1218640416556054E-3</v>
      </c>
      <c r="Y18" s="63">
        <f>국산거래표_new!Y18/'A표_총거래표(생산자)_new'!Y$186</f>
        <v>6.7283956035932456E-3</v>
      </c>
      <c r="Z18" s="63">
        <f>국산거래표_new!Z18/'A표_총거래표(생산자)_new'!Z$186</f>
        <v>2.6037932437674407E-2</v>
      </c>
      <c r="AA18" s="63">
        <f>국산거래표_new!AA18/'A표_총거래표(생산자)_new'!AA$186</f>
        <v>2.0894662992088997E-3</v>
      </c>
      <c r="AB18" s="63">
        <f>국산거래표_new!AB18/'A표_총거래표(생산자)_new'!AB$186</f>
        <v>2.2305123999596089E-3</v>
      </c>
      <c r="AC18" s="63">
        <f>국산거래표_new!AC18/'A표_총거래표(생산자)_new'!AC$186</f>
        <v>2.9743280879458198E-2</v>
      </c>
      <c r="AD18" s="63">
        <f>국산거래표_new!AD18/'A표_총거래표(생산자)_new'!AD$186</f>
        <v>1.0555802845627326E-2</v>
      </c>
      <c r="AE18" s="63">
        <f>국산거래표_new!AE18/'A표_총거래표(생산자)_new'!AE$186</f>
        <v>3.6408019408039317E-3</v>
      </c>
      <c r="AF18" s="63">
        <f>국산거래표_new!AF18/'A표_총거래표(생산자)_new'!AF$186</f>
        <v>9.5375895179622035E-3</v>
      </c>
      <c r="AG18" s="63">
        <f>국산거래표_new!AG18/'A표_총거래표(생산자)_new'!AG$186</f>
        <v>8.6057113727091884E-3</v>
      </c>
      <c r="AH18" s="63">
        <f>국산거래표_new!AH18/'A표_총거래표(생산자)_new'!AH$186</f>
        <v>7.7056295241935786E-3</v>
      </c>
      <c r="AI18" s="63">
        <f>국산거래표_new!AI18/'A표_총거래표(생산자)_new'!AI$186</f>
        <v>2.6841028349040931E-2</v>
      </c>
      <c r="AJ18" s="63">
        <f>국산거래표_new!AJ18/'A표_총거래표(생산자)_new'!AJ$186</f>
        <v>1.0309645955275731E-2</v>
      </c>
      <c r="AK18" s="65">
        <f t="shared" si="0"/>
        <v>0.47679023729493375</v>
      </c>
    </row>
    <row r="19" spans="1:37" ht="13.5" customHeight="1">
      <c r="A19" s="44" t="s">
        <v>57</v>
      </c>
      <c r="B19" s="15" t="s">
        <v>58</v>
      </c>
      <c r="C19" s="63">
        <f>국산거래표_new!C19/'A표_총거래표(생산자)_new'!C$186</f>
        <v>1.7132078871936029E-3</v>
      </c>
      <c r="D19" s="63">
        <f>국산거래표_new!D19/'A표_총거래표(생산자)_new'!D$186</f>
        <v>1.770943061770958E-2</v>
      </c>
      <c r="E19" s="63">
        <f>국산거래표_new!E19/'A표_총거래표(생산자)_new'!E$186</f>
        <v>7.3381419644058662E-4</v>
      </c>
      <c r="F19" s="63">
        <f>국산거래표_new!F19/'A표_총거래표(생산자)_new'!F$186</f>
        <v>9.1835612770817211E-4</v>
      </c>
      <c r="G19" s="63">
        <f>국산거래표_new!G19/'A표_총거래표(생산자)_new'!G$186</f>
        <v>3.6754111234328798E-3</v>
      </c>
      <c r="H19" s="63">
        <f>국산거래표_new!H19/'A표_총거래표(생산자)_new'!H$186</f>
        <v>2.6538634381572408E-3</v>
      </c>
      <c r="I19" s="168">
        <f>국산거래표_new!I19/'A표_총거래표(생산자)_new'!I$186</f>
        <v>1.2532516107424078E-3</v>
      </c>
      <c r="J19" s="168">
        <f>국산거래표_new!J19/'A표_총거래표(생산자)_new'!J$186</f>
        <v>8.3889527659344453E-4</v>
      </c>
      <c r="K19" s="63">
        <f>국산거래표_new!K19/'A표_총거래표(생산자)_new'!K$186</f>
        <v>6.4698410255042129E-3</v>
      </c>
      <c r="L19" s="63">
        <f>국산거래표_new!L19/'A표_총거래표(생산자)_new'!L$186</f>
        <v>2.4588284702432598E-3</v>
      </c>
      <c r="M19" s="63">
        <f>국산거래표_new!M19/'A표_총거래표(생산자)_new'!M$186</f>
        <v>9.5878313244260899E-3</v>
      </c>
      <c r="N19" s="63">
        <f>국산거래표_new!N19/'A표_총거래표(생산자)_new'!N$186</f>
        <v>1.3201154151523408E-2</v>
      </c>
      <c r="O19" s="63">
        <f>국산거래표_new!O19/'A표_총거래표(생산자)_new'!O$186</f>
        <v>0.15720588526170992</v>
      </c>
      <c r="P19" s="63">
        <f>국산거래표_new!P19/'A표_총거래표(생산자)_new'!P$186</f>
        <v>3.59191279101874E-2</v>
      </c>
      <c r="Q19" s="63">
        <f>국산거래표_new!Q19/'A표_총거래표(생산자)_new'!Q$186</f>
        <v>5.706734010949556E-2</v>
      </c>
      <c r="R19" s="63">
        <f>국산거래표_new!R19/'A표_총거래표(생산자)_new'!R$186</f>
        <v>1.0321121639715264E-2</v>
      </c>
      <c r="S19" s="63">
        <f>국산거래표_new!S19/'A표_총거래표(생산자)_new'!S$186</f>
        <v>1.9391088848095553E-2</v>
      </c>
      <c r="T19" s="63">
        <f>국산거래표_new!T19/'A표_총거래표(생산자)_new'!T$186</f>
        <v>1.1244933372363179E-2</v>
      </c>
      <c r="U19" s="63">
        <f>국산거래표_new!U19/'A표_총거래표(생산자)_new'!U$186</f>
        <v>2.3250162324379854E-2</v>
      </c>
      <c r="V19" s="63">
        <f>국산거래표_new!V19/'A표_총거래표(생산자)_new'!V$186</f>
        <v>4.0353581233758998E-2</v>
      </c>
      <c r="W19" s="63">
        <f>국산거래표_new!W19/'A표_총거래표(생산자)_new'!W$186</f>
        <v>4.7381732005700276E-3</v>
      </c>
      <c r="X19" s="63">
        <f>국산거래표_new!X19/'A표_총거래표(생산자)_new'!X$186</f>
        <v>1.2870883583801047E-2</v>
      </c>
      <c r="Y19" s="63">
        <f>국산거래표_new!Y19/'A표_총거래표(생산자)_new'!Y$186</f>
        <v>1.1240333263781063E-2</v>
      </c>
      <c r="Z19" s="63">
        <f>국산거래표_new!Z19/'A표_총거래표(생산자)_new'!Z$186</f>
        <v>1.4254653433995769E-2</v>
      </c>
      <c r="AA19" s="63">
        <f>국산거래표_new!AA19/'A표_총거래표(생산자)_new'!AA$186</f>
        <v>1.5951109429581606E-3</v>
      </c>
      <c r="AB19" s="63">
        <f>국산거래표_new!AB19/'A표_총거래표(생산자)_new'!AB$186</f>
        <v>3.1137066899703026E-3</v>
      </c>
      <c r="AC19" s="63">
        <f>국산거래표_new!AC19/'A표_총거래표(생산자)_new'!AC$186</f>
        <v>2.248429386315301E-2</v>
      </c>
      <c r="AD19" s="63">
        <f>국산거래표_new!AD19/'A표_총거래표(생산자)_new'!AD$186</f>
        <v>1.6793139392687551E-2</v>
      </c>
      <c r="AE19" s="63">
        <f>국산거래표_new!AE19/'A표_총거래표(생산자)_new'!AE$186</f>
        <v>4.4136562194816891E-3</v>
      </c>
      <c r="AF19" s="63">
        <f>국산거래표_new!AF19/'A표_총거래표(생산자)_new'!AF$186</f>
        <v>5.0407027071712792E-3</v>
      </c>
      <c r="AG19" s="63">
        <f>국산거래표_new!AG19/'A표_총거래표(생산자)_new'!AG$186</f>
        <v>2.5902709737806004E-3</v>
      </c>
      <c r="AH19" s="63">
        <f>국산거래표_new!AH19/'A표_총거래표(생산자)_new'!AH$186</f>
        <v>6.9612162443144481E-3</v>
      </c>
      <c r="AI19" s="63">
        <f>국산거래표_new!AI19/'A표_총거래표(생산자)_new'!AI$186</f>
        <v>3.1839305618625663E-2</v>
      </c>
      <c r="AJ19" s="63">
        <f>국산거래표_new!AJ19/'A표_총거래표(생산자)_new'!AJ$186</f>
        <v>2.3476287356131794E-3</v>
      </c>
      <c r="AK19" s="65">
        <f t="shared" si="0"/>
        <v>0.55625020081928445</v>
      </c>
    </row>
    <row r="20" spans="1:37" ht="13.5" customHeight="1">
      <c r="A20" s="44" t="s">
        <v>59</v>
      </c>
      <c r="B20" s="15" t="s">
        <v>11</v>
      </c>
      <c r="C20" s="63">
        <f>국산거래표_new!C20/'A표_총거래표(생산자)_new'!C$186</f>
        <v>1.6196453022151826E-3</v>
      </c>
      <c r="D20" s="63">
        <f>국산거래표_new!D20/'A표_총거래표(생산자)_new'!D$186</f>
        <v>2.2122379447891402E-2</v>
      </c>
      <c r="E20" s="63">
        <f>국산거래표_new!E20/'A표_총거래표(생산자)_new'!E$186</f>
        <v>1.835939038771058E-3</v>
      </c>
      <c r="F20" s="63">
        <f>국산거래표_new!F20/'A표_총거래표(생산자)_new'!F$186</f>
        <v>2.8111401022455114E-4</v>
      </c>
      <c r="G20" s="63">
        <f>국산거래표_new!G20/'A표_총거래표(생산자)_new'!G$186</f>
        <v>1.5874229840367221E-3</v>
      </c>
      <c r="H20" s="63">
        <f>국산거래표_new!H20/'A표_총거래표(생산자)_new'!H$186</f>
        <v>7.4607208399523599E-3</v>
      </c>
      <c r="I20" s="168">
        <f>국산거래표_new!I20/'A표_총거래표(생산자)_new'!I$186</f>
        <v>1.4289185236069674E-3</v>
      </c>
      <c r="J20" s="168">
        <f>국산거래표_new!J20/'A표_총거래표(생산자)_new'!J$186</f>
        <v>6.8249544383977026E-2</v>
      </c>
      <c r="K20" s="63">
        <f>국산거래표_new!K20/'A표_총거래표(생산자)_new'!K$186</f>
        <v>2.8343698189980688E-3</v>
      </c>
      <c r="L20" s="63">
        <f>국산거래표_new!L20/'A표_총거래표(생산자)_new'!L$186</f>
        <v>2.9667099241188774E-3</v>
      </c>
      <c r="M20" s="63">
        <f>국산거래표_new!M20/'A표_총거래표(생산자)_new'!M$186</f>
        <v>1.51151576451768E-2</v>
      </c>
      <c r="N20" s="63">
        <f>국산거래표_new!N20/'A표_총거래표(생산자)_new'!N$186</f>
        <v>3.649500240038097E-3</v>
      </c>
      <c r="O20" s="63">
        <f>국산거래표_new!O20/'A표_총거래표(생산자)_new'!O$186</f>
        <v>5.628754037392711E-3</v>
      </c>
      <c r="P20" s="63">
        <f>국산거래표_new!P20/'A표_총거래표(생산자)_new'!P$186</f>
        <v>0.11959245533021443</v>
      </c>
      <c r="Q20" s="63">
        <f>국산거래표_new!Q20/'A표_총거래표(생산자)_new'!Q$186</f>
        <v>1.770566722380439E-2</v>
      </c>
      <c r="R20" s="63">
        <f>국산거래표_new!R20/'A표_총거래표(생산자)_new'!R$186</f>
        <v>1.7714999642922159E-3</v>
      </c>
      <c r="S20" s="63">
        <f>국산거래표_new!S20/'A표_총거래표(생산자)_new'!S$186</f>
        <v>1.0119604596171785E-2</v>
      </c>
      <c r="T20" s="63">
        <f>국산거래표_new!T20/'A표_총거래표(생산자)_new'!T$186</f>
        <v>5.6679641452859596E-3</v>
      </c>
      <c r="U20" s="63">
        <f>국산거래표_new!U20/'A표_총거래표(생산자)_new'!U$186</f>
        <v>2.7188795335393031E-2</v>
      </c>
      <c r="V20" s="63">
        <f>국산거래표_new!V20/'A표_총거래표(생산자)_new'!V$186</f>
        <v>2.805068873954402E-2</v>
      </c>
      <c r="W20" s="63">
        <f>국산거래표_new!W20/'A표_총거래표(생산자)_new'!W$186</f>
        <v>1.3675144797075059E-3</v>
      </c>
      <c r="X20" s="63">
        <f>국산거래표_new!X20/'A표_총거래표(생산자)_new'!X$186</f>
        <v>2.4804164627495358E-3</v>
      </c>
      <c r="Y20" s="63">
        <f>국산거래표_new!Y20/'A표_총거래표(생산자)_new'!Y$186</f>
        <v>1.6500354140904512E-3</v>
      </c>
      <c r="Z20" s="63">
        <f>국산거래표_new!Z20/'A표_총거래표(생산자)_new'!Z$186</f>
        <v>5.0906809874102545E-4</v>
      </c>
      <c r="AA20" s="63">
        <f>국산거래표_new!AA20/'A표_총거래표(생산자)_new'!AA$186</f>
        <v>1.4981173897732353E-4</v>
      </c>
      <c r="AB20" s="63">
        <f>국산거래표_new!AB20/'A표_총거래표(생산자)_new'!AB$186</f>
        <v>1.2221245412259434E-3</v>
      </c>
      <c r="AC20" s="63">
        <f>국산거래표_new!AC20/'A표_총거래표(생산자)_new'!AC$186</f>
        <v>3.0373435290243877E-3</v>
      </c>
      <c r="AD20" s="63">
        <f>국산거래표_new!AD20/'A표_총거래표(생산자)_new'!AD$186</f>
        <v>2.4419005304074071E-3</v>
      </c>
      <c r="AE20" s="63">
        <f>국산거래표_new!AE20/'A표_총거래표(생산자)_new'!AE$186</f>
        <v>2.2805732759395912E-3</v>
      </c>
      <c r="AF20" s="63">
        <f>국산거래표_new!AF20/'A표_총거래표(생산자)_new'!AF$186</f>
        <v>2.3682543433919036E-3</v>
      </c>
      <c r="AG20" s="63">
        <f>국산거래표_new!AG20/'A표_총거래표(생산자)_new'!AG$186</f>
        <v>1.0825858893414335E-3</v>
      </c>
      <c r="AH20" s="63">
        <f>국산거래표_new!AH20/'A표_총거래표(생산자)_new'!AH$186</f>
        <v>2.323408992424014E-3</v>
      </c>
      <c r="AI20" s="63">
        <f>국산거래표_new!AI20/'A표_총거래표(생산자)_new'!AI$186</f>
        <v>1.4446670816579119E-3</v>
      </c>
      <c r="AJ20" s="63">
        <f>국산거래표_new!AJ20/'A표_총거래표(생산자)_new'!AJ$186</f>
        <v>1.2960265213321463E-3</v>
      </c>
      <c r="AK20" s="65">
        <f t="shared" si="0"/>
        <v>0.36853058243011633</v>
      </c>
    </row>
    <row r="21" spans="1:37" ht="13.5" customHeight="1">
      <c r="A21" s="44" t="s">
        <v>60</v>
      </c>
      <c r="B21" s="15" t="s">
        <v>12</v>
      </c>
      <c r="C21" s="63">
        <f>국산거래표_new!C21/'A표_총거래표(생산자)_new'!C$186</f>
        <v>2.8871685584242785E-3</v>
      </c>
      <c r="D21" s="63">
        <f>국산거래표_new!D21/'A표_총거래표(생산자)_new'!D$186</f>
        <v>3.2236529251227379E-2</v>
      </c>
      <c r="E21" s="63">
        <f>국산거래표_new!E21/'A표_총거래표(생산자)_new'!E$186</f>
        <v>1.983936561399769E-4</v>
      </c>
      <c r="F21" s="63">
        <f>국산거래표_new!F21/'A표_총거래표(생산자)_new'!F$186</f>
        <v>1.8102869968372073E-4</v>
      </c>
      <c r="G21" s="63">
        <f>국산거래표_new!G21/'A표_총거래표(생산자)_new'!G$186</f>
        <v>1.5776933927648903E-3</v>
      </c>
      <c r="H21" s="63">
        <f>국산거래표_new!H21/'A표_총거래표(생산자)_new'!H$186</f>
        <v>1.4797044132119983E-3</v>
      </c>
      <c r="I21" s="168">
        <f>국산거래표_new!I21/'A표_총거래표(생산자)_new'!I$186</f>
        <v>7.4157137569218733E-4</v>
      </c>
      <c r="J21" s="168">
        <f>국산거래표_new!J21/'A표_총거래표(생산자)_new'!J$186</f>
        <v>5.1896736309596416E-4</v>
      </c>
      <c r="K21" s="63">
        <f>국산거래표_new!K21/'A표_총거래표(생산자)_new'!K$186</f>
        <v>3.8863982435973078E-3</v>
      </c>
      <c r="L21" s="63">
        <f>국산거래표_new!L21/'A표_총거래표(생산자)_new'!L$186</f>
        <v>8.7012388051071338E-4</v>
      </c>
      <c r="M21" s="63">
        <f>국산거래표_new!M21/'A표_총거래표(생산자)_new'!M$186</f>
        <v>1.896905776360043E-3</v>
      </c>
      <c r="N21" s="63">
        <f>국산거래표_new!N21/'A표_총거래표(생산자)_new'!N$186</f>
        <v>2.8329166934193854E-5</v>
      </c>
      <c r="O21" s="63">
        <f>국산거래표_new!O21/'A표_총거래표(생산자)_new'!O$186</f>
        <v>3.2847958334067281E-4</v>
      </c>
      <c r="P21" s="63">
        <f>국산거래표_new!P21/'A표_총거래표(생산자)_new'!P$186</f>
        <v>3.2728647866458629E-3</v>
      </c>
      <c r="Q21" s="63">
        <f>국산거래표_new!Q21/'A표_총거래표(생산자)_new'!Q$186</f>
        <v>0.25491603349204778</v>
      </c>
      <c r="R21" s="63">
        <f>국산거래표_new!R21/'A표_총거래표(생산자)_new'!R$186</f>
        <v>6.2878177306094894E-4</v>
      </c>
      <c r="S21" s="63">
        <f>국산거래표_new!S21/'A표_총거래표(생산자)_new'!S$186</f>
        <v>3.7147949997055854E-2</v>
      </c>
      <c r="T21" s="63">
        <f>국산거래표_new!T21/'A표_총거래표(생산자)_new'!T$186</f>
        <v>1.0084138323879146E-3</v>
      </c>
      <c r="U21" s="63">
        <f>국산거래표_new!U21/'A표_총거래표(생산자)_new'!U$186</f>
        <v>1.3752164524431435E-2</v>
      </c>
      <c r="V21" s="63">
        <f>국산거래표_new!V21/'A표_총거래표(생산자)_new'!V$186</f>
        <v>1.0809427264012903E-4</v>
      </c>
      <c r="W21" s="63">
        <f>국산거래표_new!W21/'A표_총거래표(생산자)_new'!W$186</f>
        <v>1.7052038248396666E-3</v>
      </c>
      <c r="X21" s="63">
        <f>국산거래표_new!X21/'A표_총거래표(생산자)_new'!X$186</f>
        <v>2.6231534440495294E-2</v>
      </c>
      <c r="Y21" s="63">
        <f>국산거래표_new!Y21/'A표_총거래표(생산자)_new'!Y$186</f>
        <v>7.8966797821952543E-4</v>
      </c>
      <c r="Z21" s="63">
        <f>국산거래표_new!Z21/'A표_총거래표(생산자)_new'!Z$186</f>
        <v>6.8107229234701076E-4</v>
      </c>
      <c r="AA21" s="63">
        <f>국산거래표_new!AA21/'A표_총거래표(생산자)_new'!AA$186</f>
        <v>9.74871810895272E-5</v>
      </c>
      <c r="AB21" s="63">
        <f>국산거래표_new!AB21/'A표_총거래표(생산자)_new'!AB$186</f>
        <v>1.5843724579196432E-4</v>
      </c>
      <c r="AC21" s="63">
        <f>국산거래표_new!AC21/'A표_총거래표(생산자)_new'!AC$186</f>
        <v>9.6809500129549069E-3</v>
      </c>
      <c r="AD21" s="63">
        <f>국산거래표_new!AD21/'A표_총거래표(생산자)_new'!AD$186</f>
        <v>6.0305331218234049E-3</v>
      </c>
      <c r="AE21" s="63">
        <f>국산거래표_new!AE21/'A표_총거래표(생산자)_new'!AE$186</f>
        <v>1.503181972476117E-2</v>
      </c>
      <c r="AF21" s="63">
        <f>국산거래표_new!AF21/'A표_총거래표(생산자)_new'!AF$186</f>
        <v>1.068103351740714E-3</v>
      </c>
      <c r="AG21" s="63">
        <f>국산거래표_new!AG21/'A표_총거래표(생산자)_new'!AG$186</f>
        <v>1.0273500529221369E-3</v>
      </c>
      <c r="AH21" s="63">
        <f>국산거래표_new!AH21/'A표_총거래표(생산자)_new'!AH$186</f>
        <v>1.6682066055658602E-3</v>
      </c>
      <c r="AI21" s="63">
        <f>국산거래표_new!AI21/'A표_총거래표(생산자)_new'!AI$186</f>
        <v>9.0483058755493173E-2</v>
      </c>
      <c r="AJ21" s="63">
        <f>국산거래표_new!AJ21/'A표_총거래표(생산자)_new'!AJ$186</f>
        <v>1.5713275745877606E-3</v>
      </c>
      <c r="AK21" s="65">
        <f t="shared" si="0"/>
        <v>0.51389034820188539</v>
      </c>
    </row>
    <row r="22" spans="1:37" ht="13.5" customHeight="1">
      <c r="A22" s="44" t="s">
        <v>61</v>
      </c>
      <c r="B22" s="15" t="s">
        <v>62</v>
      </c>
      <c r="C22" s="63">
        <f>국산거래표_new!C22/'A표_총거래표(생산자)_new'!C$186</f>
        <v>1.7393460061717014E-4</v>
      </c>
      <c r="D22" s="63">
        <f>국산거래표_new!D22/'A표_총거래표(생산자)_new'!D$186</f>
        <v>8.1477911694840068E-4</v>
      </c>
      <c r="E22" s="63">
        <f>국산거래표_new!E22/'A표_총거래표(생산자)_new'!E$186</f>
        <v>1.4361253268285479E-3</v>
      </c>
      <c r="F22" s="63">
        <f>국산거래표_new!F22/'A표_총거래표(생산자)_new'!F$186</f>
        <v>1.2089769596545594E-3</v>
      </c>
      <c r="G22" s="63">
        <f>국산거래표_new!G22/'A표_총거래표(생산자)_new'!G$186</f>
        <v>8.3517383280520396E-4</v>
      </c>
      <c r="H22" s="63">
        <f>국산거래표_new!H22/'A표_총거래표(생산자)_new'!H$186</f>
        <v>1.0819369674612286E-4</v>
      </c>
      <c r="I22" s="168">
        <f>국산거래표_new!I22/'A표_총거래표(생산자)_new'!I$186</f>
        <v>1.2237081007525463E-4</v>
      </c>
      <c r="J22" s="168">
        <f>국산거래표_new!J22/'A표_총거래표(생산자)_new'!J$186</f>
        <v>6.6978568893515203E-5</v>
      </c>
      <c r="K22" s="63">
        <f>국산거래표_new!K22/'A표_총거래표(생산자)_new'!K$186</f>
        <v>1.8409316967712218E-4</v>
      </c>
      <c r="L22" s="63">
        <f>국산거래표_new!L22/'A표_총거래표(생산자)_new'!L$186</f>
        <v>1.6700442053113826E-4</v>
      </c>
      <c r="M22" s="63">
        <f>국산거래표_new!M22/'A표_총거래표(생산자)_new'!M$186</f>
        <v>9.0962643034080777E-4</v>
      </c>
      <c r="N22" s="63">
        <f>국산거래표_new!N22/'A표_총거래표(생산자)_new'!N$186</f>
        <v>1.0743820925594932E-4</v>
      </c>
      <c r="O22" s="63">
        <f>국산거래표_new!O22/'A표_총거래표(생산자)_new'!O$186</f>
        <v>1.9994963112384168E-4</v>
      </c>
      <c r="P22" s="63">
        <f>국산거래표_new!P22/'A표_총거래표(생산자)_new'!P$186</f>
        <v>3.1518728096453151E-4</v>
      </c>
      <c r="Q22" s="63">
        <f>국산거래표_new!Q22/'A표_총거래표(생산자)_new'!Q$186</f>
        <v>4.811712730332828E-5</v>
      </c>
      <c r="R22" s="63">
        <f>국산거래표_new!R22/'A표_총거래표(생산자)_new'!R$186</f>
        <v>2.4402875846539655E-2</v>
      </c>
      <c r="S22" s="63">
        <f>국산거래표_new!S22/'A표_총거래표(생산자)_new'!S$186</f>
        <v>1.8815978545964301E-3</v>
      </c>
      <c r="T22" s="63">
        <f>국산거래표_new!T22/'A표_총거래표(생산자)_new'!T$186</f>
        <v>9.5306661181391198E-5</v>
      </c>
      <c r="U22" s="63">
        <f>국산거래표_new!U22/'A표_총거래표(생산자)_new'!U$186</f>
        <v>4.3528293247066556E-3</v>
      </c>
      <c r="V22" s="63">
        <f>국산거래표_new!V22/'A표_총거래표(생산자)_new'!V$186</f>
        <v>6.8244144703395685E-3</v>
      </c>
      <c r="W22" s="63">
        <f>국산거래표_new!W22/'A표_총거래표(생산자)_new'!W$186</f>
        <v>2.1834974392408368E-3</v>
      </c>
      <c r="X22" s="63">
        <f>국산거래표_new!X22/'A표_총거래표(생산자)_new'!X$186</f>
        <v>8.616448545272446E-4</v>
      </c>
      <c r="Y22" s="63">
        <f>국산거래표_new!Y22/'A표_총거래표(생산자)_new'!Y$186</f>
        <v>1.1923661534297837E-2</v>
      </c>
      <c r="Z22" s="63">
        <f>국산거래표_new!Z22/'A표_총거래표(생산자)_new'!Z$186</f>
        <v>2.0086227288583273E-3</v>
      </c>
      <c r="AA22" s="63">
        <f>국산거래표_new!AA22/'A표_총거래표(생산자)_new'!AA$186</f>
        <v>8.7682172079172509E-4</v>
      </c>
      <c r="AB22" s="63">
        <f>국산거래표_new!AB22/'A표_총거래표(생산자)_new'!AB$186</f>
        <v>3.6129541691579344E-3</v>
      </c>
      <c r="AC22" s="63">
        <f>국산거래표_new!AC22/'A표_총거래표(생산자)_new'!AC$186</f>
        <v>5.3519927839373559E-3</v>
      </c>
      <c r="AD22" s="63">
        <f>국산거래표_new!AD22/'A표_총거래표(생산자)_new'!AD$186</f>
        <v>6.3575214621958429E-3</v>
      </c>
      <c r="AE22" s="63">
        <f>국산거래표_new!AE22/'A표_총거래표(생산자)_new'!AE$186</f>
        <v>2.8657704826588176E-3</v>
      </c>
      <c r="AF22" s="63">
        <f>국산거래표_new!AF22/'A표_총거래표(생산자)_new'!AF$186</f>
        <v>1.4192770735707192E-2</v>
      </c>
      <c r="AG22" s="63">
        <f>국산거래표_new!AG22/'A표_총거래표(생산자)_new'!AG$186</f>
        <v>3.4003235656433974E-3</v>
      </c>
      <c r="AH22" s="63">
        <f>국산거래표_new!AH22/'A표_총거래표(생산자)_new'!AH$186</f>
        <v>1.516931391336457E-2</v>
      </c>
      <c r="AI22" s="63">
        <f>국산거래표_new!AI22/'A표_총거래표(생산자)_new'!AI$186</f>
        <v>9.6545207074769449E-3</v>
      </c>
      <c r="AJ22" s="63">
        <f>국산거래표_new!AJ22/'A표_총거래표(생산자)_new'!AJ$186</f>
        <v>2.3655571688932123E-3</v>
      </c>
      <c r="AK22" s="65">
        <f t="shared" si="0"/>
        <v>0.12507994660588045</v>
      </c>
    </row>
    <row r="23" spans="1:37" ht="13.5" customHeight="1">
      <c r="A23" s="44" t="s">
        <v>63</v>
      </c>
      <c r="B23" s="15" t="s">
        <v>64</v>
      </c>
      <c r="C23" s="63">
        <f>국산거래표_new!C23/'A표_총거래표(생산자)_new'!C$186</f>
        <v>3.2682099488782405E-3</v>
      </c>
      <c r="D23" s="63">
        <f>국산거래표_new!D23/'A표_총거래표(생산자)_new'!D$186</f>
        <v>2.8565142059742834E-2</v>
      </c>
      <c r="E23" s="63">
        <f>국산거래표_new!E23/'A표_총거래표(생산자)_new'!E$186</f>
        <v>2.9979580848581083E-2</v>
      </c>
      <c r="F23" s="63">
        <f>국산거래표_new!F23/'A표_총거래표(생산자)_new'!F$186</f>
        <v>6.4825649023022278E-2</v>
      </c>
      <c r="G23" s="63">
        <f>국산거래표_new!G23/'A표_총거래표(생산자)_new'!G$186</f>
        <v>3.1844505921179315E-2</v>
      </c>
      <c r="H23" s="63">
        <f>국산거래표_new!H23/'A표_총거래표(생산자)_new'!H$186</f>
        <v>2.4669103032625766E-3</v>
      </c>
      <c r="I23" s="168">
        <f>국산거래표_new!I23/'A표_총거래표(생산자)_new'!I$186</f>
        <v>2.369338476935141E-2</v>
      </c>
      <c r="J23" s="168">
        <f>국산거래표_new!J23/'A표_총거래표(생산자)_new'!J$186</f>
        <v>1.6796084928466321E-2</v>
      </c>
      <c r="K23" s="63">
        <f>국산거래표_new!K23/'A표_총거래표(생산자)_new'!K$186</f>
        <v>2.6856669232992739E-2</v>
      </c>
      <c r="L23" s="63">
        <f>국산거래표_new!L23/'A표_총거래표(생산자)_new'!L$186</f>
        <v>2.130263635612863E-2</v>
      </c>
      <c r="M23" s="63">
        <f>국산거래표_new!M23/'A표_총거래표(생산자)_new'!M$186</f>
        <v>4.2010168687459562E-2</v>
      </c>
      <c r="N23" s="63">
        <f>국산거래표_new!N23/'A표_총거래표(생산자)_new'!N$186</f>
        <v>4.8513573301222274E-2</v>
      </c>
      <c r="O23" s="63">
        <f>국산거래표_new!O23/'A표_총거래표(생산자)_new'!O$186</f>
        <v>2.7308690179007479E-2</v>
      </c>
      <c r="P23" s="63">
        <f>국산거래표_new!P23/'A표_총거래표(생산자)_new'!P$186</f>
        <v>6.4057811801815787E-2</v>
      </c>
      <c r="Q23" s="63">
        <f>국산거래표_new!Q23/'A표_총거래표(생산자)_new'!Q$186</f>
        <v>2.4604082906433237E-2</v>
      </c>
      <c r="R23" s="63">
        <f>국산거래표_new!R23/'A표_총거래표(생산자)_new'!R$186</f>
        <v>6.4660906133305121E-2</v>
      </c>
      <c r="S23" s="63">
        <f>국산거래표_new!S23/'A표_총거래표(생산자)_new'!S$186</f>
        <v>0.12741548496265068</v>
      </c>
      <c r="T23" s="63">
        <f>국산거래표_new!T23/'A표_총거래표(생산자)_new'!T$186</f>
        <v>2.7161343576030403E-3</v>
      </c>
      <c r="U23" s="63">
        <f>국산거래표_new!U23/'A표_총거래표(생산자)_new'!U$186</f>
        <v>9.6515181456407351E-3</v>
      </c>
      <c r="V23" s="63">
        <f>국산거래표_new!V23/'A표_총거래표(생산자)_new'!V$186</f>
        <v>5.5550474787744309E-4</v>
      </c>
      <c r="W23" s="63">
        <f>국산거래표_new!W23/'A표_총거래표(생산자)_new'!W$186</f>
        <v>1.3238007465696271E-3</v>
      </c>
      <c r="X23" s="63">
        <f>국산거래표_new!X23/'A표_총거래표(생산자)_new'!X$186</f>
        <v>3.9741831385591822E-4</v>
      </c>
      <c r="Y23" s="63">
        <f>국산거래표_new!Y23/'A표_총거래표(생산자)_new'!Y$186</f>
        <v>5.3356234391523669E-4</v>
      </c>
      <c r="Z23" s="63">
        <f>국산거래표_new!Z23/'A표_총거래표(생산자)_new'!Z$186</f>
        <v>1.1793663661243546E-3</v>
      </c>
      <c r="AA23" s="63">
        <f>국산거래표_new!AA23/'A표_총거래표(생산자)_new'!AA$186</f>
        <v>2.2536711886677721E-4</v>
      </c>
      <c r="AB23" s="63">
        <f>국산거래표_new!AB23/'A표_총거래표(생산자)_new'!AB$186</f>
        <v>2.8012102390804979E-4</v>
      </c>
      <c r="AC23" s="63">
        <f>국산거래표_new!AC23/'A표_총거래표(생산자)_new'!AC$186</f>
        <v>8.7789731077740228E-4</v>
      </c>
      <c r="AD23" s="63">
        <f>국산거래표_new!AD23/'A표_총거래표(생산자)_new'!AD$186</f>
        <v>7.0498320307711077E-3</v>
      </c>
      <c r="AE23" s="63">
        <f>국산거래표_new!AE23/'A표_총거래표(생산자)_new'!AE$186</f>
        <v>1.1403236648314854E-3</v>
      </c>
      <c r="AF23" s="63">
        <f>국산거래표_new!AF23/'A표_총거래표(생산자)_new'!AF$186</f>
        <v>1.8489559058103766E-3</v>
      </c>
      <c r="AG23" s="63">
        <f>국산거래표_new!AG23/'A표_총거래표(생산자)_new'!AG$186</f>
        <v>5.0940400267846121E-3</v>
      </c>
      <c r="AH23" s="63">
        <f>국산거래표_new!AH23/'A표_총거래표(생산자)_new'!AH$186</f>
        <v>1.9862252013384909E-3</v>
      </c>
      <c r="AI23" s="63">
        <f>국산거래표_new!AI23/'A표_총거래표(생산자)_new'!AI$186</f>
        <v>6.7615100787541782E-4</v>
      </c>
      <c r="AJ23" s="63">
        <f>국산거래표_new!AJ23/'A표_총거래표(생산자)_new'!AJ$186</f>
        <v>2.9721358282009872E-4</v>
      </c>
      <c r="AK23" s="65">
        <f t="shared" si="0"/>
        <v>0.6840029232588698</v>
      </c>
    </row>
    <row r="24" spans="1:37" ht="13.5" customHeight="1">
      <c r="A24" s="44" t="s">
        <v>65</v>
      </c>
      <c r="B24" s="15" t="s">
        <v>13</v>
      </c>
      <c r="C24" s="63">
        <f>국산거래표_new!C24/'A표_총거래표(생산자)_new'!C$186</f>
        <v>2.3868449979437156E-2</v>
      </c>
      <c r="D24" s="63">
        <f>국산거래표_new!D24/'A표_총거래표(생산자)_new'!D$186</f>
        <v>5.8108206796947469E-2</v>
      </c>
      <c r="E24" s="63">
        <f>국산거래표_new!E24/'A표_총거래표(생산자)_new'!E$186</f>
        <v>1.8741303384257717E-2</v>
      </c>
      <c r="F24" s="63">
        <f>국산거래표_new!F24/'A표_총거래표(생산자)_new'!F$186</f>
        <v>2.1129987386286225E-2</v>
      </c>
      <c r="G24" s="63">
        <f>국산거래표_new!G24/'A표_총거래표(생산자)_new'!G$186</f>
        <v>4.6201026637907067E-2</v>
      </c>
      <c r="H24" s="63">
        <f>국산거래표_new!H24/'A표_총거래표(생산자)_new'!H$186</f>
        <v>2.660515455998853E-2</v>
      </c>
      <c r="I24" s="168">
        <f>국산거래표_new!I24/'A표_총거래표(생산자)_new'!I$186</f>
        <v>3.6226501453257863E-2</v>
      </c>
      <c r="J24" s="168">
        <f>국산거래표_new!J24/'A표_총거래표(생산자)_new'!J$186</f>
        <v>0.19999279457993852</v>
      </c>
      <c r="K24" s="63">
        <f>국산거래표_new!K24/'A표_총거래표(생산자)_new'!K$186</f>
        <v>4.9391664248685414E-2</v>
      </c>
      <c r="L24" s="63">
        <f>국산거래표_new!L24/'A표_총거래표(생산자)_new'!L$186</f>
        <v>7.1460544330189502E-2</v>
      </c>
      <c r="M24" s="63">
        <f>국산거래표_new!M24/'A표_총거래표(생산자)_new'!M$186</f>
        <v>1.3754015900799135E-2</v>
      </c>
      <c r="N24" s="63">
        <f>국산거래표_new!N24/'A표_총거래표(생산자)_new'!N$186</f>
        <v>3.3673092182415043E-2</v>
      </c>
      <c r="O24" s="63">
        <f>국산거래표_new!O24/'A표_총거래표(생산자)_new'!O$186</f>
        <v>1.0216539337751332E-2</v>
      </c>
      <c r="P24" s="63">
        <f>국산거래표_new!P24/'A표_총거래표(생산자)_new'!P$186</f>
        <v>1.1545762649032698E-2</v>
      </c>
      <c r="Q24" s="63">
        <f>국산거래표_new!Q24/'A표_총거래표(생산자)_new'!Q$186</f>
        <v>1.4682436258725052E-2</v>
      </c>
      <c r="R24" s="63">
        <f>국산거래표_new!R24/'A표_총거래표(생산자)_new'!R$186</f>
        <v>6.8332640656451078E-3</v>
      </c>
      <c r="S24" s="63">
        <f>국산거래표_new!S24/'A표_총거래표(생산자)_new'!S$186</f>
        <v>8.3709581280610075E-3</v>
      </c>
      <c r="T24" s="63">
        <f>국산거래표_new!T24/'A표_총거래표(생산자)_new'!T$186</f>
        <v>0.16998262117052615</v>
      </c>
      <c r="U24" s="63">
        <f>국산거래표_new!U24/'A표_총거래표(생산자)_new'!U$186</f>
        <v>2.1758644102182301E-2</v>
      </c>
      <c r="V24" s="63">
        <f>국산거래표_new!V24/'A표_총거래표(생산자)_new'!V$186</f>
        <v>2.1879170221097903E-3</v>
      </c>
      <c r="W24" s="63">
        <f>국산거래표_new!W24/'A표_총거래표(생산자)_new'!W$186</f>
        <v>9.4560910935684948E-3</v>
      </c>
      <c r="X24" s="63">
        <f>국산거래표_new!X24/'A표_총거래표(생산자)_new'!X$186</f>
        <v>1.6723149280232105E-2</v>
      </c>
      <c r="Y24" s="63">
        <f>국산거래표_new!Y24/'A표_총거래표(생산자)_new'!Y$186</f>
        <v>6.2370750458876044E-3</v>
      </c>
      <c r="Z24" s="63">
        <f>국산거래표_new!Z24/'A표_총거래표(생산자)_new'!Z$186</f>
        <v>5.5295805000995478E-3</v>
      </c>
      <c r="AA24" s="63">
        <f>국산거래표_new!AA24/'A표_총거래표(생산자)_new'!AA$186</f>
        <v>4.3495373303591416E-3</v>
      </c>
      <c r="AB24" s="63">
        <f>국산거래표_new!AB24/'A표_총거래표(생산자)_new'!AB$186</f>
        <v>7.7981403311925979E-3</v>
      </c>
      <c r="AC24" s="63">
        <f>국산거래표_new!AC24/'A표_총거래표(생산자)_new'!AC$186</f>
        <v>1.9457265340768009E-2</v>
      </c>
      <c r="AD24" s="63">
        <f>국산거래표_new!AD24/'A표_총거래표(생산자)_new'!AD$186</f>
        <v>3.3086122719608343E-3</v>
      </c>
      <c r="AE24" s="63">
        <f>국산거래표_new!AE24/'A표_총거래표(생산자)_new'!AE$186</f>
        <v>4.8002462770120029E-3</v>
      </c>
      <c r="AF24" s="63">
        <f>국산거래표_new!AF24/'A표_총거래표(생산자)_new'!AF$186</f>
        <v>2.2455970735639808E-2</v>
      </c>
      <c r="AG24" s="63">
        <f>국산거래표_new!AG24/'A표_총거래표(생산자)_new'!AG$186</f>
        <v>8.9184224099376729E-3</v>
      </c>
      <c r="AH24" s="63">
        <f>국산거래표_new!AH24/'A표_총거래표(생산자)_new'!AH$186</f>
        <v>1.4231223970206529E-2</v>
      </c>
      <c r="AI24" s="63">
        <f>국산거래표_new!AI24/'A표_총거래표(생산자)_new'!AI$186</f>
        <v>9.5264081429297012E-3</v>
      </c>
      <c r="AJ24" s="63">
        <f>국산거래표_new!AJ24/'A표_총거래표(생산자)_new'!AJ$186</f>
        <v>5.0259374628358513E-4</v>
      </c>
      <c r="AK24" s="65">
        <f t="shared" si="0"/>
        <v>0.97802520065022069</v>
      </c>
    </row>
    <row r="25" spans="1:37" ht="13.5" customHeight="1">
      <c r="A25" s="44" t="s">
        <v>66</v>
      </c>
      <c r="B25" s="15" t="s">
        <v>67</v>
      </c>
      <c r="C25" s="63">
        <f>국산거래표_new!C25/'A표_총거래표(생산자)_new'!C$186</f>
        <v>1.1982761424494542E-3</v>
      </c>
      <c r="D25" s="63">
        <f>국산거래표_new!D25/'A표_총거래표(생산자)_new'!D$186</f>
        <v>2.7298855160245838E-3</v>
      </c>
      <c r="E25" s="63">
        <f>국산거래표_new!E25/'A표_총거래표(생산자)_new'!E$186</f>
        <v>4.520081409054401E-3</v>
      </c>
      <c r="F25" s="63">
        <f>국산거래표_new!F25/'A표_총거래표(생산자)_new'!F$186</f>
        <v>5.4905672516702003E-3</v>
      </c>
      <c r="G25" s="63">
        <f>국산거래표_new!G25/'A표_총거래표(생산자)_new'!G$186</f>
        <v>1.0264647381938372E-2</v>
      </c>
      <c r="H25" s="63">
        <f>국산거래표_new!H25/'A표_총거래표(생산자)_new'!H$186</f>
        <v>7.3610000411977673E-4</v>
      </c>
      <c r="I25" s="168">
        <f>국산거래표_new!I25/'A표_총거래표(생산자)_new'!I$186</f>
        <v>1.3044602167528181E-2</v>
      </c>
      <c r="J25" s="168">
        <f>국산거래표_new!J25/'A표_총거래표(생산자)_new'!J$186</f>
        <v>9.8649313262119849E-3</v>
      </c>
      <c r="K25" s="63">
        <f>국산거래표_new!K25/'A표_총거래표(생산자)_new'!K$186</f>
        <v>1.253999702995566E-2</v>
      </c>
      <c r="L25" s="63">
        <f>국산거래표_new!L25/'A표_총거래표(생산자)_new'!L$186</f>
        <v>2.7021073448218979E-2</v>
      </c>
      <c r="M25" s="63">
        <f>국산거래표_new!M25/'A표_총거래표(생산자)_new'!M$186</f>
        <v>6.6244232066296101E-3</v>
      </c>
      <c r="N25" s="63">
        <f>국산거래표_new!N25/'A표_총거래표(생산자)_new'!N$186</f>
        <v>7.3200566180601741E-4</v>
      </c>
      <c r="O25" s="63">
        <f>국산거래표_new!O25/'A표_총거래표(생산자)_new'!O$186</f>
        <v>1.625917788169707E-3</v>
      </c>
      <c r="P25" s="63">
        <f>국산거래표_new!P25/'A표_총거래표(생산자)_new'!P$186</f>
        <v>3.9989945621702709E-3</v>
      </c>
      <c r="Q25" s="63">
        <f>국산거래표_new!Q25/'A표_총거래표(생산자)_new'!Q$186</f>
        <v>1.3614548666373543E-3</v>
      </c>
      <c r="R25" s="63">
        <f>국산거래표_new!R25/'A표_총거래표(생산자)_new'!R$186</f>
        <v>1.901167418234616E-3</v>
      </c>
      <c r="S25" s="63">
        <f>국산거래표_new!S25/'A표_총거래표(생산자)_new'!S$186</f>
        <v>2.633770065380678E-3</v>
      </c>
      <c r="T25" s="63">
        <f>국산거래표_new!T25/'A표_총거래표(생산자)_new'!T$186</f>
        <v>2.1840560447471897E-3</v>
      </c>
      <c r="U25" s="63">
        <f>국산거래표_new!U25/'A표_총거래표(생산자)_new'!U$186</f>
        <v>5.3374313560461469E-2</v>
      </c>
      <c r="V25" s="63">
        <f>국산거래표_new!V25/'A표_총거래표(생산자)_new'!V$186</f>
        <v>9.9613924273273696E-4</v>
      </c>
      <c r="W25" s="63">
        <f>국산거래표_new!W25/'A표_총거래표(생산자)_new'!W$186</f>
        <v>4.1162840586779742E-4</v>
      </c>
      <c r="X25" s="63">
        <f>국산거래표_new!X25/'A표_총거래표(생산자)_new'!X$186</f>
        <v>2.0871886371714365E-3</v>
      </c>
      <c r="Y25" s="63">
        <f>국산거래표_new!Y25/'A표_총거래표(생산자)_new'!Y$186</f>
        <v>1.2771500801007245E-2</v>
      </c>
      <c r="Z25" s="63">
        <f>국산거래표_new!Z25/'A표_총거래표(생산자)_new'!Z$186</f>
        <v>1.6438770920670254E-3</v>
      </c>
      <c r="AA25" s="63">
        <f>국산거래표_new!AA25/'A표_총거래표(생산자)_new'!AA$186</f>
        <v>1.3021774221316702E-3</v>
      </c>
      <c r="AB25" s="63">
        <f>국산거래표_new!AB25/'A표_총거래표(생산자)_new'!AB$186</f>
        <v>9.4258443549066848E-3</v>
      </c>
      <c r="AC25" s="63">
        <f>국산거래표_new!AC25/'A표_총거래표(생산자)_new'!AC$186</f>
        <v>2.8228144443604775E-3</v>
      </c>
      <c r="AD25" s="63">
        <f>국산거래표_new!AD25/'A표_총거래표(생산자)_new'!AD$186</f>
        <v>3.1290971421462969E-3</v>
      </c>
      <c r="AE25" s="63">
        <f>국산거래표_new!AE25/'A표_총거래표(생산자)_new'!AE$186</f>
        <v>4.9464382007929093E-3</v>
      </c>
      <c r="AF25" s="63">
        <f>국산거래표_new!AF25/'A표_총거래표(생산자)_new'!AF$186</f>
        <v>8.9195603623107647E-3</v>
      </c>
      <c r="AG25" s="63">
        <f>국산거래표_new!AG25/'A표_총거래표(생산자)_new'!AG$186</f>
        <v>8.9531609826481312E-3</v>
      </c>
      <c r="AH25" s="63">
        <f>국산거래표_new!AH25/'A표_총거래표(생산자)_new'!AH$186</f>
        <v>6.4861976050028204E-3</v>
      </c>
      <c r="AI25" s="63">
        <f>국산거래표_new!AI25/'A표_총거래표(생산자)_new'!AI$186</f>
        <v>7.664989197625518E-3</v>
      </c>
      <c r="AJ25" s="63">
        <f>국산거래표_new!AJ25/'A표_총거래표(생산자)_new'!AJ$186</f>
        <v>1.6402524403087754E-3</v>
      </c>
      <c r="AK25" s="65">
        <f t="shared" si="0"/>
        <v>0.23504713118248879</v>
      </c>
    </row>
    <row r="26" spans="1:37" ht="13.5" customHeight="1">
      <c r="A26" s="44" t="s">
        <v>68</v>
      </c>
      <c r="B26" s="15" t="s">
        <v>14</v>
      </c>
      <c r="C26" s="63">
        <f>국산거래표_new!C26/'A표_총거래표(생산자)_new'!C$186</f>
        <v>1.1950358797662188E-3</v>
      </c>
      <c r="D26" s="63">
        <f>국산거래표_new!D26/'A표_총거래표(생산자)_new'!D$186</f>
        <v>6.0995791496897553E-3</v>
      </c>
      <c r="E26" s="63">
        <f>국산거래표_new!E26/'A표_총거래표(생산자)_new'!E$186</f>
        <v>6.3578516389256297E-4</v>
      </c>
      <c r="F26" s="63">
        <f>국산거래표_new!F26/'A표_총거래표(생산자)_new'!F$186</f>
        <v>2.5628509952074503E-4</v>
      </c>
      <c r="G26" s="63">
        <f>국산거래표_new!G26/'A표_총거래표(생산자)_new'!G$186</f>
        <v>9.3370156533591924E-4</v>
      </c>
      <c r="H26" s="63">
        <f>국산거래표_new!H26/'A표_총거래표(생산자)_new'!H$186</f>
        <v>5.9631417836512781E-4</v>
      </c>
      <c r="I26" s="168">
        <f>국산거래표_new!I26/'A표_총거래표(생산자)_new'!I$186</f>
        <v>6.3496947964975848E-4</v>
      </c>
      <c r="J26" s="168">
        <f>국산거래표_new!J26/'A표_총거래표(생산자)_new'!J$186</f>
        <v>4.8130355835252354E-4</v>
      </c>
      <c r="K26" s="63">
        <f>국산거래표_new!K26/'A표_총거래표(생산자)_new'!K$186</f>
        <v>6.9596150306278938E-4</v>
      </c>
      <c r="L26" s="63">
        <f>국산거래표_new!L26/'A표_총거래표(생산자)_new'!L$186</f>
        <v>9.0195310544219712E-4</v>
      </c>
      <c r="M26" s="63">
        <f>국산거래표_new!M26/'A표_총거래표(생산자)_new'!M$186</f>
        <v>1.0436628170121221E-3</v>
      </c>
      <c r="N26" s="63">
        <f>국산거래표_new!N26/'A표_총거래표(생산자)_new'!N$186</f>
        <v>2.4898085821954235E-4</v>
      </c>
      <c r="O26" s="63">
        <f>국산거래표_new!O26/'A표_총거래표(생산자)_new'!O$186</f>
        <v>6.1816400636080862E-4</v>
      </c>
      <c r="P26" s="63">
        <f>국산거래표_new!P26/'A표_총거래표(생산자)_new'!P$186</f>
        <v>4.6621968644057385E-4</v>
      </c>
      <c r="Q26" s="63">
        <f>국산거래표_new!Q26/'A표_총거래표(생산자)_new'!Q$186</f>
        <v>6.8720108825268749E-5</v>
      </c>
      <c r="R26" s="63">
        <f>국산거래표_new!R26/'A표_총거래표(생산자)_new'!R$186</f>
        <v>5.331464113469698E-4</v>
      </c>
      <c r="S26" s="63">
        <f>국산거래표_new!S26/'A표_총거래표(생산자)_new'!S$186</f>
        <v>2.0657567020618311E-4</v>
      </c>
      <c r="T26" s="63">
        <f>국산거래표_new!T26/'A표_총거래표(생산자)_new'!T$186</f>
        <v>1.938583374868472E-3</v>
      </c>
      <c r="U26" s="63">
        <f>국산거래표_new!U26/'A표_총거래표(생산자)_new'!U$186</f>
        <v>2.7804001146438362E-3</v>
      </c>
      <c r="V26" s="63">
        <f>국산거래표_new!V26/'A표_총거래표(생산자)_new'!V$186</f>
        <v>6.653843262585874E-5</v>
      </c>
      <c r="W26" s="63">
        <f>국산거래표_new!W26/'A표_총거래표(생산자)_new'!W$186</f>
        <v>9.6384594816368424E-4</v>
      </c>
      <c r="X26" s="63">
        <f>국산거래표_new!X26/'A표_총거래표(생산자)_new'!X$186</f>
        <v>6.1398564116308231E-4</v>
      </c>
      <c r="Y26" s="63">
        <f>국산거래표_new!Y26/'A표_총거래표(생산자)_new'!Y$186</f>
        <v>3.853044459526916E-3</v>
      </c>
      <c r="Z26" s="63">
        <f>국산거래표_new!Z26/'A표_총거래표(생산자)_new'!Z$186</f>
        <v>1.7330513879717823E-3</v>
      </c>
      <c r="AA26" s="63">
        <f>국산거래표_new!AA26/'A표_총거래표(생산자)_new'!AA$186</f>
        <v>2.5614525172563653E-4</v>
      </c>
      <c r="AB26" s="63">
        <f>국산거래표_new!AB26/'A표_총거래표(생산자)_new'!AB$186</f>
        <v>6.9281809685710141E-2</v>
      </c>
      <c r="AC26" s="63">
        <f>국산거래표_new!AC26/'A표_총거래표(생산자)_new'!AC$186</f>
        <v>2.3541858966054548E-3</v>
      </c>
      <c r="AD26" s="63">
        <f>국산거래표_new!AD26/'A표_총거래표(생산자)_new'!AD$186</f>
        <v>2.537652096213679E-3</v>
      </c>
      <c r="AE26" s="63">
        <f>국산거래표_new!AE26/'A표_총거래표(생산자)_new'!AE$186</f>
        <v>4.1910852854071725E-3</v>
      </c>
      <c r="AF26" s="63">
        <f>국산거래표_new!AF26/'A표_총거래표(생산자)_new'!AF$186</f>
        <v>1.0951541948921698E-3</v>
      </c>
      <c r="AG26" s="63">
        <f>국산거래표_new!AG26/'A표_총거래표(생산자)_new'!AG$186</f>
        <v>4.4780954271102041E-4</v>
      </c>
      <c r="AH26" s="63">
        <f>국산거래표_new!AH26/'A표_총거래표(생산자)_new'!AH$186</f>
        <v>2.3350626676384655E-3</v>
      </c>
      <c r="AI26" s="63">
        <f>국산거래표_new!AI26/'A표_총거래표(생산자)_new'!AI$186</f>
        <v>2.0397030077714965E-3</v>
      </c>
      <c r="AJ26" s="63">
        <f>국산거래표_new!AJ26/'A표_총거래표(생산자)_new'!AJ$186</f>
        <v>1.6115669470607231E-3</v>
      </c>
      <c r="AK26" s="65">
        <f t="shared" si="0"/>
        <v>0.11371598217618864</v>
      </c>
    </row>
    <row r="27" spans="1:37" ht="13.5" customHeight="1">
      <c r="A27" s="44" t="s">
        <v>69</v>
      </c>
      <c r="B27" s="15" t="s">
        <v>70</v>
      </c>
      <c r="C27" s="63">
        <f>국산거래표_new!C27/'A표_총거래표(생산자)_new'!C$186</f>
        <v>5.4111752258587976E-2</v>
      </c>
      <c r="D27" s="63">
        <f>국산거래표_new!D27/'A표_총거래표(생산자)_new'!D$186</f>
        <v>1.7288148512080038E-2</v>
      </c>
      <c r="E27" s="63">
        <f>국산거래표_new!E27/'A표_총거래표(생산자)_new'!E$186</f>
        <v>7.320260986399596E-2</v>
      </c>
      <c r="F27" s="63">
        <f>국산거래표_new!F27/'A표_총거래표(생산자)_new'!F$186</f>
        <v>8.6265313644016642E-2</v>
      </c>
      <c r="G27" s="63">
        <f>국산거래표_new!G27/'A표_총거래표(생산자)_new'!G$186</f>
        <v>6.1295818028864787E-2</v>
      </c>
      <c r="H27" s="63">
        <f>국산거래표_new!H27/'A표_총거래표(생산자)_new'!H$186</f>
        <v>1.0699871228941634E-2</v>
      </c>
      <c r="I27" s="168">
        <f>국산거래표_new!I27/'A표_총거래표(생산자)_new'!I$186</f>
        <v>4.1173908604309445E-2</v>
      </c>
      <c r="J27" s="168">
        <f>국산거래표_new!J27/'A표_총거래표(생산자)_new'!J$186</f>
        <v>2.969598952233389E-2</v>
      </c>
      <c r="K27" s="63">
        <f>국산거래표_new!K27/'A표_총거래표(생산자)_new'!K$186</f>
        <v>4.2188814863379928E-2</v>
      </c>
      <c r="L27" s="63">
        <f>국산거래표_new!L27/'A표_총거래표(생산자)_new'!L$186</f>
        <v>2.258478924071311E-2</v>
      </c>
      <c r="M27" s="63">
        <f>국산거래표_new!M27/'A표_총거래표(생산자)_new'!M$186</f>
        <v>3.3329968178005369E-2</v>
      </c>
      <c r="N27" s="63">
        <f>국산거래표_new!N27/'A표_총거래표(생산자)_new'!N$186</f>
        <v>3.7398584005676291E-2</v>
      </c>
      <c r="O27" s="63">
        <f>국산거래표_new!O27/'A표_총거래표(생산자)_new'!O$186</f>
        <v>4.2294932976382357E-2</v>
      </c>
      <c r="P27" s="63">
        <f>국산거래표_new!P27/'A표_총거래표(생산자)_new'!P$186</f>
        <v>3.9625616469676772E-2</v>
      </c>
      <c r="Q27" s="63">
        <f>국산거래표_new!Q27/'A표_총거래표(생산자)_new'!Q$186</f>
        <v>4.0966246493685327E-2</v>
      </c>
      <c r="R27" s="63">
        <f>국산거래표_new!R27/'A표_총거래표(생산자)_new'!R$186</f>
        <v>8.566078005908731E-2</v>
      </c>
      <c r="S27" s="63">
        <f>국산거래표_new!S27/'A표_총거래표(생산자)_new'!S$186</f>
        <v>2.4326477779970105E-2</v>
      </c>
      <c r="T27" s="63">
        <f>국산거래표_new!T27/'A표_총거래표(생산자)_new'!T$186</f>
        <v>2.2996054821108818E-2</v>
      </c>
      <c r="U27" s="63">
        <f>국산거래표_new!U27/'A표_총거래표(생산자)_new'!U$186</f>
        <v>2.4789743874377917E-2</v>
      </c>
      <c r="V27" s="63">
        <f>국산거래표_new!V27/'A표_총거래표(생산자)_new'!V$186</f>
        <v>3.5911322712599156E-2</v>
      </c>
      <c r="W27" s="63">
        <f>국산거래표_new!W27/'A표_총거래표(생산자)_new'!W$186</f>
        <v>4.497151686593457E-2</v>
      </c>
      <c r="X27" s="63">
        <f>국산거래표_new!X27/'A표_총거래표(생산자)_new'!X$186</f>
        <v>1.4851840856863811E-2</v>
      </c>
      <c r="Y27" s="63">
        <f>국산거래표_new!Y27/'A표_총거래표(생산자)_new'!Y$186</f>
        <v>7.6439580497361964E-2</v>
      </c>
      <c r="Z27" s="63">
        <f>국산거래표_new!Z27/'A표_총거래표(생산자)_new'!Z$186</f>
        <v>4.0710848912224526E-2</v>
      </c>
      <c r="AA27" s="63">
        <f>국산거래표_new!AA27/'A표_총거래표(생산자)_new'!AA$186</f>
        <v>2.3028434560770582E-3</v>
      </c>
      <c r="AB27" s="63">
        <f>국산거래표_new!AB27/'A표_총거래표(생산자)_new'!AB$186</f>
        <v>2.8358077976414551E-3</v>
      </c>
      <c r="AC27" s="63">
        <f>국산거래표_new!AC27/'A표_총거래표(생산자)_new'!AC$186</f>
        <v>1.9057316350710899E-2</v>
      </c>
      <c r="AD27" s="63">
        <f>국산거래표_new!AD27/'A표_총거래표(생산자)_new'!AD$186</f>
        <v>1.7735964551437108E-2</v>
      </c>
      <c r="AE27" s="63">
        <f>국산거래표_new!AE27/'A표_총거래표(생산자)_new'!AE$186</f>
        <v>1.1022955968016473E-2</v>
      </c>
      <c r="AF27" s="63">
        <f>국산거래표_new!AF27/'A표_총거래표(생산자)_new'!AF$186</f>
        <v>1.6326204322812853E-2</v>
      </c>
      <c r="AG27" s="63">
        <f>국산거래표_new!AG27/'A표_총거래표(생산자)_new'!AG$186</f>
        <v>6.1649919393780374E-2</v>
      </c>
      <c r="AH27" s="63">
        <f>국산거래표_new!AH27/'A표_총거래표(생산자)_new'!AH$186</f>
        <v>2.9102240892007539E-2</v>
      </c>
      <c r="AI27" s="63">
        <f>국산거래표_new!AI27/'A표_총거래표(생산자)_new'!AI$186</f>
        <v>4.383461959581797E-2</v>
      </c>
      <c r="AJ27" s="63">
        <f>국산거래표_new!AJ27/'A표_총거래표(생산자)_new'!AJ$186</f>
        <v>8.6626205512833863E-3</v>
      </c>
      <c r="AK27" s="65">
        <f t="shared" si="0"/>
        <v>1.2153110231497624</v>
      </c>
    </row>
    <row r="28" spans="1:37" ht="13.5" customHeight="1">
      <c r="A28" s="44" t="s">
        <v>71</v>
      </c>
      <c r="B28" s="15" t="s">
        <v>42</v>
      </c>
      <c r="C28" s="63">
        <f>국산거래표_new!C28/'A표_총거래표(생산자)_new'!C$186</f>
        <v>1.965062704685875E-2</v>
      </c>
      <c r="D28" s="63">
        <f>국산거래표_new!D28/'A표_총거래표(생산자)_new'!D$186</f>
        <v>0.14819349014014013</v>
      </c>
      <c r="E28" s="63">
        <f>국산거래표_new!E28/'A표_총거래표(생산자)_new'!E$186</f>
        <v>3.4396238338732468E-2</v>
      </c>
      <c r="F28" s="63">
        <f>국산거래표_new!F28/'A표_총거래표(생산자)_new'!F$186</f>
        <v>3.7639018025988714E-2</v>
      </c>
      <c r="G28" s="63">
        <f>국산거래표_new!G28/'A표_총거래표(생산자)_new'!G$186</f>
        <v>4.2040153541162403E-2</v>
      </c>
      <c r="H28" s="63">
        <f>국산거래표_new!H28/'A표_총거래표(생산자)_new'!H$186</f>
        <v>9.5684618256809302E-3</v>
      </c>
      <c r="I28" s="168">
        <f>국산거래표_new!I28/'A표_총거래표(생산자)_new'!I$186</f>
        <v>3.0660345166711799E-2</v>
      </c>
      <c r="J28" s="168">
        <f>국산거래표_new!J28/'A표_총거래표(생산자)_new'!J$186</f>
        <v>2.2817631676715428E-2</v>
      </c>
      <c r="K28" s="63">
        <f>국산거래표_new!K28/'A표_총거래표(생산자)_new'!K$186</f>
        <v>0.11276541820136665</v>
      </c>
      <c r="L28" s="63">
        <f>국산거래표_new!L28/'A표_총거래표(생산자)_new'!L$186</f>
        <v>2.7534952845430571E-2</v>
      </c>
      <c r="M28" s="63">
        <f>국산거래표_new!M28/'A표_총거래표(생산자)_new'!M$186</f>
        <v>2.7462624215134381E-2</v>
      </c>
      <c r="N28" s="63">
        <f>국산거래표_new!N28/'A표_총거래표(생산자)_new'!N$186</f>
        <v>1.2981637503019198E-2</v>
      </c>
      <c r="O28" s="63">
        <f>국산거래표_new!O28/'A표_총거래표(생산자)_new'!O$186</f>
        <v>1.6098926431635335E-2</v>
      </c>
      <c r="P28" s="63">
        <f>국산거래표_new!P28/'A표_총거래표(생산자)_new'!P$186</f>
        <v>2.2015887105956391E-2</v>
      </c>
      <c r="Q28" s="63">
        <f>국산거래표_new!Q28/'A표_총거래표(생산자)_new'!Q$186</f>
        <v>1.1150291480132342E-2</v>
      </c>
      <c r="R28" s="63">
        <f>국산거래표_new!R28/'A표_총거래표(생산자)_new'!R$186</f>
        <v>3.653346828238372E-2</v>
      </c>
      <c r="S28" s="63">
        <f>국산거래표_new!S28/'A표_총거래표(생산자)_new'!S$186</f>
        <v>1.552695545457081E-2</v>
      </c>
      <c r="T28" s="63">
        <f>국산거래표_new!T28/'A표_총거래표(생산자)_new'!T$186</f>
        <v>4.6001286930012633E-3</v>
      </c>
      <c r="U28" s="63">
        <f>국산거래표_new!U28/'A표_총거래표(생산자)_new'!U$186</f>
        <v>7.0947357138995124E-2</v>
      </c>
      <c r="V28" s="63">
        <f>국산거래표_new!V28/'A표_총거래표(생산자)_new'!V$186</f>
        <v>1.0180426942806889E-2</v>
      </c>
      <c r="W28" s="63">
        <f>국산거래표_new!W28/'A표_총거래표(생산자)_new'!W$186</f>
        <v>7.5764280599673731E-2</v>
      </c>
      <c r="X28" s="63">
        <f>국산거래표_new!X28/'A표_총거래표(생산자)_new'!X$186</f>
        <v>7.3399571044984499E-2</v>
      </c>
      <c r="Y28" s="63">
        <f>국산거래표_new!Y28/'A표_총거래표(생산자)_new'!Y$186</f>
        <v>1.5308291917372331E-2</v>
      </c>
      <c r="Z28" s="63">
        <f>국산거래표_new!Z28/'A표_총거래표(생산자)_new'!Z$186</f>
        <v>7.7001067741604085E-3</v>
      </c>
      <c r="AA28" s="63">
        <f>국산거래표_new!AA28/'A표_총거래표(생산자)_new'!AA$186</f>
        <v>2.9810492263759557E-3</v>
      </c>
      <c r="AB28" s="63">
        <f>국산거래표_new!AB28/'A표_총거래표(생산자)_new'!AB$186</f>
        <v>2.669795437740919E-3</v>
      </c>
      <c r="AC28" s="63">
        <f>국산거래표_new!AC28/'A표_총거래표(생산자)_new'!AC$186</f>
        <v>1.2618348465383412E-2</v>
      </c>
      <c r="AD28" s="63">
        <f>국산거래표_new!AD28/'A표_총거래표(생산자)_new'!AD$186</f>
        <v>1.6102193931831481E-2</v>
      </c>
      <c r="AE28" s="63">
        <f>국산거래표_new!AE28/'A표_총거래표(생산자)_new'!AE$186</f>
        <v>1.1922205141758352E-2</v>
      </c>
      <c r="AF28" s="63">
        <f>국산거래표_new!AF28/'A표_총거래표(생산자)_new'!AF$186</f>
        <v>4.9203053976047285E-3</v>
      </c>
      <c r="AG28" s="63">
        <f>국산거래표_new!AG28/'A표_총거래표(생산자)_new'!AG$186</f>
        <v>7.4393705244684416E-3</v>
      </c>
      <c r="AH28" s="63">
        <f>국산거래표_new!AH28/'A표_총거래표(생산자)_new'!AH$186</f>
        <v>6.7750665569366502E-3</v>
      </c>
      <c r="AI28" s="63">
        <f>국산거래표_new!AI28/'A표_총거래표(생산자)_new'!AI$186</f>
        <v>1.4465518829232043E-2</v>
      </c>
      <c r="AJ28" s="63">
        <f>국산거래표_new!AJ28/'A표_총거래표(생산자)_new'!AJ$186</f>
        <v>3.8707487451590743E-2</v>
      </c>
      <c r="AK28" s="65">
        <f t="shared" si="0"/>
        <v>1.0035376313555371</v>
      </c>
    </row>
    <row r="29" spans="1:37" ht="13.5" customHeight="1">
      <c r="A29" s="44" t="s">
        <v>72</v>
      </c>
      <c r="B29" s="15" t="s">
        <v>15</v>
      </c>
      <c r="C29" s="63">
        <f>국산거래표_new!C29/'A표_총거래표(생산자)_new'!C$186</f>
        <v>5.7257736798835678E-3</v>
      </c>
      <c r="D29" s="63">
        <f>국산거래표_new!D29/'A표_총거래표(생산자)_new'!D$186</f>
        <v>2.1578317263348436E-2</v>
      </c>
      <c r="E29" s="63">
        <f>국산거래표_new!E29/'A표_총거래표(생산자)_new'!E$186</f>
        <v>3.7740519618019021E-3</v>
      </c>
      <c r="F29" s="63">
        <f>국산거래표_new!F29/'A표_총거래표(생산자)_new'!F$186</f>
        <v>7.6313980304430953E-3</v>
      </c>
      <c r="G29" s="63">
        <f>국산거래표_new!G29/'A표_총거래표(생산자)_new'!G$186</f>
        <v>9.892744913360757E-3</v>
      </c>
      <c r="H29" s="63">
        <f>국산거래표_new!H29/'A표_총거래표(생산자)_new'!H$186</f>
        <v>1.4543536836597998E-3</v>
      </c>
      <c r="I29" s="168">
        <f>국산거래표_new!I29/'A표_총거래표(생산자)_new'!I$186</f>
        <v>4.6961423794592144E-3</v>
      </c>
      <c r="J29" s="168">
        <f>국산거래표_new!J29/'A표_총거래표(생산자)_new'!J$186</f>
        <v>3.3525770924502591E-3</v>
      </c>
      <c r="K29" s="63">
        <f>국산거래표_new!K29/'A표_총거래표(생산자)_new'!K$186</f>
        <v>7.4078760948497122E-3</v>
      </c>
      <c r="L29" s="63">
        <f>국산거래표_new!L29/'A표_총거래표(생산자)_new'!L$186</f>
        <v>4.4345072321126736E-3</v>
      </c>
      <c r="M29" s="63">
        <f>국산거래표_new!M29/'A표_총거래표(생산자)_new'!M$186</f>
        <v>8.3651940908361557E-3</v>
      </c>
      <c r="N29" s="63">
        <f>국산거래표_new!N29/'A표_총거래표(생산자)_new'!N$186</f>
        <v>3.8148225042924787E-3</v>
      </c>
      <c r="O29" s="63">
        <f>국산거래표_new!O29/'A표_총거래표(생산자)_new'!O$186</f>
        <v>3.5793079442375661E-3</v>
      </c>
      <c r="P29" s="63">
        <f>국산거래표_new!P29/'A표_총거래표(생산자)_new'!P$186</f>
        <v>7.2517982514799318E-3</v>
      </c>
      <c r="Q29" s="63">
        <f>국산거래표_new!Q29/'A표_총거래표(생산자)_new'!Q$186</f>
        <v>3.5287188581121691E-3</v>
      </c>
      <c r="R29" s="63">
        <f>국산거래표_new!R29/'A표_총거래표(생산자)_new'!R$186</f>
        <v>8.3773190927396626E-3</v>
      </c>
      <c r="S29" s="63">
        <f>국산거래표_new!S29/'A표_총거래표(생산자)_new'!S$186</f>
        <v>2.6514989829787103E-2</v>
      </c>
      <c r="T29" s="63">
        <f>국산거래표_new!T29/'A표_총거래표(생산자)_new'!T$186</f>
        <v>2.4959981223480142E-3</v>
      </c>
      <c r="U29" s="63">
        <f>국산거래표_new!U29/'A표_총거래표(생산자)_new'!U$186</f>
        <v>1.6247821121165042E-2</v>
      </c>
      <c r="V29" s="63">
        <f>국산거래표_new!V29/'A표_총거래표(생산자)_new'!V$186</f>
        <v>3.163108872277325E-3</v>
      </c>
      <c r="W29" s="63">
        <f>국산거래표_new!W29/'A표_총거래표(생산자)_new'!W$186</f>
        <v>3.990768745090402E-2</v>
      </c>
      <c r="X29" s="63">
        <f>국산거래표_new!X29/'A표_총거래표(생산자)_new'!X$186</f>
        <v>8.5609550888555066E-3</v>
      </c>
      <c r="Y29" s="63">
        <f>국산거래표_new!Y29/'A표_총거래표(생산자)_new'!Y$186</f>
        <v>6.3066034795217669E-3</v>
      </c>
      <c r="Z29" s="63">
        <f>국산거래표_new!Z29/'A표_총거래표(생산자)_new'!Z$186</f>
        <v>1.4865767856765678E-2</v>
      </c>
      <c r="AA29" s="63">
        <f>국산거래표_new!AA29/'A표_총거래표(생산자)_new'!AA$186</f>
        <v>1.8114126286576181E-2</v>
      </c>
      <c r="AB29" s="63">
        <f>국산거래표_new!AB29/'A표_총거래표(생산자)_new'!AB$186</f>
        <v>9.6015619848501613E-3</v>
      </c>
      <c r="AC29" s="63">
        <f>국산거래표_new!AC29/'A표_총거래표(생산자)_new'!AC$186</f>
        <v>3.535360989808807E-2</v>
      </c>
      <c r="AD29" s="63">
        <f>국산거래표_new!AD29/'A표_총거래표(생산자)_new'!AD$186</f>
        <v>3.2212349837111465E-2</v>
      </c>
      <c r="AE29" s="63">
        <f>국산거래표_new!AE29/'A표_총거래표(생산자)_new'!AE$186</f>
        <v>2.7212610594730933E-2</v>
      </c>
      <c r="AF29" s="63">
        <f>국산거래표_new!AF29/'A표_총거래표(생산자)_new'!AF$186</f>
        <v>2.5639054787948375E-2</v>
      </c>
      <c r="AG29" s="63">
        <f>국산거래표_new!AG29/'A표_총거래표(생산자)_new'!AG$186</f>
        <v>2.4705513480571678E-2</v>
      </c>
      <c r="AH29" s="63">
        <f>국산거래표_new!AH29/'A표_총거래표(생산자)_new'!AH$186</f>
        <v>3.3814823317223595E-2</v>
      </c>
      <c r="AI29" s="63">
        <f>국산거래표_new!AI29/'A표_총거래표(생산자)_new'!AI$186</f>
        <v>6.0054106541393967E-2</v>
      </c>
      <c r="AJ29" s="63">
        <f>국산거래표_new!AJ29/'A표_총거래표(생산자)_new'!AJ$186</f>
        <v>1.3998122295421139E-3</v>
      </c>
      <c r="AK29" s="65">
        <f t="shared" si="0"/>
        <v>0.49103540385272842</v>
      </c>
    </row>
    <row r="30" spans="1:37" ht="13.5" customHeight="1">
      <c r="A30" s="44" t="s">
        <v>73</v>
      </c>
      <c r="B30" s="15" t="s">
        <v>16</v>
      </c>
      <c r="C30" s="63">
        <f>국산거래표_new!C30/'A표_총거래표(생산자)_new'!C$186</f>
        <v>2.3254015168128659E-3</v>
      </c>
      <c r="D30" s="63">
        <f>국산거래표_new!D30/'A표_총거래표(생산자)_new'!D$186</f>
        <v>4.6898610876700449E-3</v>
      </c>
      <c r="E30" s="63">
        <f>국산거래표_new!E30/'A표_총거래표(생산자)_new'!E$186</f>
        <v>1.903298361695276E-3</v>
      </c>
      <c r="F30" s="63">
        <f>국산거래표_new!F30/'A표_총거래표(생산자)_new'!F$186</f>
        <v>2.4872667739317417E-3</v>
      </c>
      <c r="G30" s="63">
        <f>국산거래표_new!G30/'A표_총거래표(생산자)_new'!G$186</f>
        <v>6.1238761563351439E-3</v>
      </c>
      <c r="H30" s="63">
        <f>국산거래표_new!H30/'A표_총거래표(생산자)_new'!H$186</f>
        <v>2.4961916419097762E-3</v>
      </c>
      <c r="I30" s="168">
        <f>국산거래표_new!I30/'A표_총거래표(생산자)_new'!I$186</f>
        <v>2.0530081377174068E-3</v>
      </c>
      <c r="J30" s="168">
        <f>국산거래표_new!J30/'A표_총거래표(생산자)_new'!J$186</f>
        <v>1.3625763860392738E-3</v>
      </c>
      <c r="K30" s="63">
        <f>국산거래표_new!K30/'A표_총거래표(생산자)_new'!K$186</f>
        <v>3.0838606263803052E-3</v>
      </c>
      <c r="L30" s="63">
        <f>국산거래표_new!L30/'A표_총거래표(생산자)_new'!L$186</f>
        <v>2.723999056337478E-3</v>
      </c>
      <c r="M30" s="63">
        <f>국산거래표_new!M30/'A표_총거래표(생산자)_new'!M$186</f>
        <v>3.8462624875448288E-3</v>
      </c>
      <c r="N30" s="63">
        <f>국산거래표_new!N30/'A표_총거래표(생산자)_new'!N$186</f>
        <v>3.6269995021508497E-3</v>
      </c>
      <c r="O30" s="63">
        <f>국산거래표_new!O30/'A표_총거래표(생산자)_new'!O$186</f>
        <v>2.3181815926897509E-3</v>
      </c>
      <c r="P30" s="63">
        <f>국산거래표_new!P30/'A표_총거래표(생산자)_new'!P$186</f>
        <v>3.126043001169706E-3</v>
      </c>
      <c r="Q30" s="63">
        <f>국산거래표_new!Q30/'A표_총거래표(생산자)_new'!Q$186</f>
        <v>1.925159678520046E-3</v>
      </c>
      <c r="R30" s="63">
        <f>국산거래표_new!R30/'A표_총거래표(생산자)_new'!R$186</f>
        <v>9.1540800038862231E-3</v>
      </c>
      <c r="S30" s="63">
        <f>국산거래표_new!S30/'A표_총거래표(생산자)_new'!S$186</f>
        <v>5.3665563731440267E-3</v>
      </c>
      <c r="T30" s="63">
        <f>국산거래표_new!T30/'A표_총거래표(생산자)_new'!T$186</f>
        <v>1.0430791910273551E-3</v>
      </c>
      <c r="U30" s="63">
        <f>국산거래표_new!U30/'A표_총거래표(생산자)_new'!U$186</f>
        <v>1.205138302285556E-2</v>
      </c>
      <c r="V30" s="63">
        <f>국산거래표_new!V30/'A표_총거래표(생산자)_new'!V$186</f>
        <v>2.3130345210136752E-3</v>
      </c>
      <c r="W30" s="63">
        <f>국산거래표_new!W30/'A표_총거래표(생산자)_new'!W$186</f>
        <v>2.5851770110597257E-2</v>
      </c>
      <c r="X30" s="63">
        <f>국산거래표_new!X30/'A표_총거래표(생산자)_new'!X$186</f>
        <v>9.6876901414278942E-3</v>
      </c>
      <c r="Y30" s="63">
        <f>국산거래표_new!Y30/'A표_총거래표(생산자)_new'!Y$186</f>
        <v>1.0513417870302064E-2</v>
      </c>
      <c r="Z30" s="63">
        <f>국산거래표_new!Z30/'A표_총거래표(생산자)_new'!Z$186</f>
        <v>0.12544020904686723</v>
      </c>
      <c r="AA30" s="63">
        <f>국산거래표_new!AA30/'A표_총거래표(생산자)_new'!AA$186</f>
        <v>3.9147598311453091E-2</v>
      </c>
      <c r="AB30" s="63">
        <f>국산거래표_new!AB30/'A표_총거래표(생산자)_new'!AB$186</f>
        <v>4.6408997290092145E-3</v>
      </c>
      <c r="AC30" s="63">
        <f>국산거래표_new!AC30/'A표_총거래표(생산자)_new'!AC$186</f>
        <v>6.247500389097007E-2</v>
      </c>
      <c r="AD30" s="63">
        <f>국산거래표_new!AD30/'A표_총거래표(생산자)_new'!AD$186</f>
        <v>1.8239924902167512E-2</v>
      </c>
      <c r="AE30" s="63">
        <f>국산거래표_new!AE30/'A표_총거래표(생산자)_new'!AE$186</f>
        <v>1.9225180927933537E-2</v>
      </c>
      <c r="AF30" s="63">
        <f>국산거래표_new!AF30/'A표_총거래표(생산자)_new'!AF$186</f>
        <v>2.7741880427018716E-2</v>
      </c>
      <c r="AG30" s="63">
        <f>국산거래표_new!AG30/'A표_총거래표(생산자)_new'!AG$186</f>
        <v>6.8387121744433229E-3</v>
      </c>
      <c r="AH30" s="63">
        <f>국산거래표_new!AH30/'A표_총거래표(생산자)_new'!AH$186</f>
        <v>6.056790584955609E-2</v>
      </c>
      <c r="AI30" s="63">
        <f>국산거래표_new!AI30/'A표_총거래표(생산자)_new'!AI$186</f>
        <v>1.8347866298962935E-2</v>
      </c>
      <c r="AJ30" s="63">
        <f>국산거래표_new!AJ30/'A표_총거래표(생산자)_new'!AJ$186</f>
        <v>6.6920865289935632E-3</v>
      </c>
      <c r="AK30" s="65">
        <f t="shared" si="0"/>
        <v>0.50943026532853375</v>
      </c>
    </row>
    <row r="31" spans="1:37" ht="13.5" customHeight="1">
      <c r="A31" s="44" t="s">
        <v>74</v>
      </c>
      <c r="B31" s="15" t="s">
        <v>17</v>
      </c>
      <c r="C31" s="63">
        <f>국산거래표_new!C31/'A표_총거래표(생산자)_new'!C$186</f>
        <v>1.548117853592214E-2</v>
      </c>
      <c r="D31" s="63">
        <f>국산거래표_new!D31/'A표_총거래표(생산자)_new'!D$186</f>
        <v>1.1641203567681205E-2</v>
      </c>
      <c r="E31" s="63">
        <f>국산거래표_new!E31/'A표_총거래표(생산자)_new'!E$186</f>
        <v>9.8401959549920641E-3</v>
      </c>
      <c r="F31" s="63">
        <f>국산거래표_new!F31/'A표_총거래표(생산자)_new'!F$186</f>
        <v>1.5055370608835392E-2</v>
      </c>
      <c r="G31" s="63">
        <f>국산거래표_new!G31/'A표_총거래표(생산자)_new'!G$186</f>
        <v>1.4781552109387884E-2</v>
      </c>
      <c r="H31" s="63">
        <f>국산거래표_new!H31/'A표_총거래표(생산자)_new'!H$186</f>
        <v>6.5935684383553001E-3</v>
      </c>
      <c r="I31" s="168">
        <f>국산거래표_new!I31/'A표_총거래표(생산자)_new'!I$186</f>
        <v>1.0873414008680964E-2</v>
      </c>
      <c r="J31" s="168">
        <f>국산거래표_new!J31/'A표_총거래표(생산자)_new'!J$186</f>
        <v>8.0785761907479717E-3</v>
      </c>
      <c r="K31" s="63">
        <f>국산거래표_new!K31/'A표_총거래표(생산자)_new'!K$186</f>
        <v>1.3118640207616645E-2</v>
      </c>
      <c r="L31" s="63">
        <f>국산거래표_new!L31/'A표_총거래표(생산자)_new'!L$186</f>
        <v>8.7843293407214931E-3</v>
      </c>
      <c r="M31" s="63">
        <f>국산거래표_new!M31/'A표_총거래표(생산자)_new'!M$186</f>
        <v>1.3129190196157986E-2</v>
      </c>
      <c r="N31" s="63">
        <f>국산거래표_new!N31/'A표_총거래표(생산자)_new'!N$186</f>
        <v>9.0564625749472976E-3</v>
      </c>
      <c r="O31" s="63">
        <f>국산거래표_new!O31/'A표_총거래표(생산자)_new'!O$186</f>
        <v>9.6566838437612736E-3</v>
      </c>
      <c r="P31" s="63">
        <f>국산거래표_new!P31/'A표_총거래표(생산자)_new'!P$186</f>
        <v>1.395899243216803E-2</v>
      </c>
      <c r="Q31" s="63">
        <f>국산거래표_new!Q31/'A표_총거래표(생산자)_new'!Q$186</f>
        <v>8.7509873732702706E-3</v>
      </c>
      <c r="R31" s="63">
        <f>국산거래표_new!R31/'A표_총거래표(생산자)_new'!R$186</f>
        <v>1.2777513141311024E-2</v>
      </c>
      <c r="S31" s="63">
        <f>국산거래표_new!S31/'A표_총거래표(생산자)_new'!S$186</f>
        <v>6.8812931097711524E-3</v>
      </c>
      <c r="T31" s="63">
        <f>국산거래표_new!T31/'A표_총거래표(생산자)_new'!T$186</f>
        <v>9.839680957391541E-3</v>
      </c>
      <c r="U31" s="63">
        <f>국산거래표_new!U31/'A표_총거래표(생산자)_new'!U$186</f>
        <v>1.6791565926665267E-2</v>
      </c>
      <c r="V31" s="63">
        <f>국산거래표_new!V31/'A표_총거래표(생산자)_new'!V$186</f>
        <v>1.3221407461471751E-2</v>
      </c>
      <c r="W31" s="63">
        <f>국산거래표_new!W31/'A표_총거래표(생산자)_new'!W$186</f>
        <v>2.3041750358002662E-2</v>
      </c>
      <c r="X31" s="63">
        <f>국산거래표_new!X31/'A표_총거래표(생산자)_new'!X$186</f>
        <v>1.1870197695348075E-2</v>
      </c>
      <c r="Y31" s="63">
        <f>국산거래표_new!Y31/'A표_총거래표(생산자)_new'!Y$186</f>
        <v>1.583772885988333E-2</v>
      </c>
      <c r="Z31" s="63">
        <f>국산거래표_new!Z31/'A표_총거래표(생산자)_new'!Z$186</f>
        <v>1.1131647467471755E-2</v>
      </c>
      <c r="AA31" s="63">
        <f>국산거래표_new!AA31/'A표_총거래표(생산자)_new'!AA$186</f>
        <v>0.17055703622757709</v>
      </c>
      <c r="AB31" s="63">
        <f>국산거래표_new!AB31/'A표_총거래표(생산자)_new'!AB$186</f>
        <v>7.5369718086591514E-2</v>
      </c>
      <c r="AC31" s="63">
        <f>국산거래표_new!AC31/'A표_총거래표(생산자)_new'!AC$186</f>
        <v>9.5279595438073749E-3</v>
      </c>
      <c r="AD31" s="63">
        <f>국산거래표_new!AD31/'A표_총거래표(생산자)_new'!AD$186</f>
        <v>1.0698418490138754E-2</v>
      </c>
      <c r="AE31" s="63">
        <f>국산거래표_new!AE31/'A표_총거래표(생산자)_new'!AE$186</f>
        <v>2.0284247910558151E-2</v>
      </c>
      <c r="AF31" s="63">
        <f>국산거래표_new!AF31/'A표_총거래표(생산자)_new'!AF$186</f>
        <v>1.9618003607992866E-2</v>
      </c>
      <c r="AG31" s="63">
        <f>국산거래표_new!AG31/'A표_총거래표(생산자)_new'!AG$186</f>
        <v>2.0002294945193615E-2</v>
      </c>
      <c r="AH31" s="63">
        <f>국산거래표_new!AH31/'A표_총거래표(생산자)_new'!AH$186</f>
        <v>1.7546586378099412E-2</v>
      </c>
      <c r="AI31" s="63">
        <f>국산거래표_new!AI31/'A표_총거래표(생산자)_new'!AI$186</f>
        <v>2.1975643049032469E-2</v>
      </c>
      <c r="AJ31" s="63">
        <f>국산거래표_new!AJ31/'A표_총거래표(생산자)_new'!AJ$186</f>
        <v>0</v>
      </c>
      <c r="AK31" s="65">
        <f t="shared" si="0"/>
        <v>0.6557730385995536</v>
      </c>
    </row>
    <row r="32" spans="1:37" ht="13.5" customHeight="1">
      <c r="A32" s="44" t="s">
        <v>75</v>
      </c>
      <c r="B32" s="15" t="s">
        <v>76</v>
      </c>
      <c r="C32" s="63">
        <f>국산거래표_new!C32/'A표_총거래표(생산자)_new'!C$186</f>
        <v>4.8278563870755159E-4</v>
      </c>
      <c r="D32" s="63">
        <f>국산거래표_new!D32/'A표_총거래표(생산자)_new'!D$186</f>
        <v>1.2234828352886468E-3</v>
      </c>
      <c r="E32" s="63">
        <f>국산거래표_new!E32/'A표_총거래표(생산자)_new'!E$186</f>
        <v>1.9414956922188826E-3</v>
      </c>
      <c r="F32" s="63">
        <f>국산거래표_new!F32/'A표_총거래표(생산자)_new'!F$186</f>
        <v>3.9577597230199607E-3</v>
      </c>
      <c r="G32" s="63">
        <f>국산거래표_new!G32/'A표_총거래표(생산자)_new'!G$186</f>
        <v>3.4614136728357272E-3</v>
      </c>
      <c r="H32" s="63">
        <f>국산거래표_new!H32/'A표_총거래표(생산자)_new'!H$186</f>
        <v>6.7978581646617789E-4</v>
      </c>
      <c r="I32" s="168">
        <f>국산거래표_new!I32/'A표_총거래표(생산자)_new'!I$186</f>
        <v>1.2188034360266558E-3</v>
      </c>
      <c r="J32" s="168">
        <f>국산거래표_new!J32/'A표_총거래표(생산자)_new'!J$186</f>
        <v>8.9020730139173347E-4</v>
      </c>
      <c r="K32" s="63">
        <f>국산거래표_new!K32/'A표_총거래표(생산자)_new'!K$186</f>
        <v>1.3467703050024629E-3</v>
      </c>
      <c r="L32" s="63">
        <f>국산거래표_new!L32/'A표_총거래표(생산자)_new'!L$186</f>
        <v>1.0808335579999973E-3</v>
      </c>
      <c r="M32" s="63">
        <f>국산거래표_new!M32/'A표_총거래표(생산자)_new'!M$186</f>
        <v>1.5506371625695044E-3</v>
      </c>
      <c r="N32" s="63">
        <f>국산거래표_new!N32/'A표_총거래표(생산자)_new'!N$186</f>
        <v>1.058675977160988E-3</v>
      </c>
      <c r="O32" s="63">
        <f>국산거래표_new!O32/'A표_총거래표(생산자)_new'!O$186</f>
        <v>1.9112781311004007E-3</v>
      </c>
      <c r="P32" s="63">
        <f>국산거래표_new!P32/'A표_총거래표(생산자)_new'!P$186</f>
        <v>1.1122075076777907E-3</v>
      </c>
      <c r="Q32" s="63">
        <f>국산거래표_new!Q32/'A표_총거래표(생산자)_new'!Q$186</f>
        <v>8.7798481579245285E-4</v>
      </c>
      <c r="R32" s="63">
        <f>국산거래표_new!R32/'A표_총거래표(생산자)_new'!R$186</f>
        <v>4.9809853890381214E-3</v>
      </c>
      <c r="S32" s="63">
        <f>국산거래표_new!S32/'A표_총거래표(생산자)_new'!S$186</f>
        <v>4.6305408032660377E-3</v>
      </c>
      <c r="T32" s="63">
        <f>국산거래표_new!T32/'A표_총거래표(생산자)_new'!T$186</f>
        <v>4.8759615714259345E-4</v>
      </c>
      <c r="U32" s="63">
        <f>국산거래표_new!U32/'A표_총거래표(생산자)_new'!U$186</f>
        <v>1.2924896325320546E-2</v>
      </c>
      <c r="V32" s="63">
        <f>국산거래표_new!V32/'A표_총거래표(생산자)_new'!V$186</f>
        <v>1.5564651926931181E-3</v>
      </c>
      <c r="W32" s="63">
        <f>국산거래표_new!W32/'A표_총거래표(생산자)_new'!W$186</f>
        <v>4.8799131895500912E-2</v>
      </c>
      <c r="X32" s="63">
        <f>국산거래표_new!X32/'A표_총거래표(생산자)_new'!X$186</f>
        <v>8.0370581649401585E-3</v>
      </c>
      <c r="Y32" s="63">
        <f>국산거래표_new!Y32/'A표_총거래표(생산자)_new'!Y$186</f>
        <v>4.7777829068431088E-2</v>
      </c>
      <c r="Z32" s="63">
        <f>국산거래표_new!Z32/'A표_총거래표(생산자)_new'!Z$186</f>
        <v>1.0056091030653077E-2</v>
      </c>
      <c r="AA32" s="63">
        <f>국산거래표_new!AA32/'A표_총거래표(생산자)_new'!AA$186</f>
        <v>1.6377577958741577E-2</v>
      </c>
      <c r="AB32" s="63">
        <f>국산거래표_new!AB32/'A표_총거래표(생산자)_new'!AB$186</f>
        <v>2.9024761598484758E-2</v>
      </c>
      <c r="AC32" s="63">
        <f>국산거래표_new!AC32/'A표_총거래표(생산자)_new'!AC$186</f>
        <v>2.563039056792869E-2</v>
      </c>
      <c r="AD32" s="63">
        <f>국산거래표_new!AD32/'A표_총거래표(생산자)_new'!AD$186</f>
        <v>1.4975162384760309E-2</v>
      </c>
      <c r="AE32" s="63">
        <f>국산거래표_new!AE32/'A표_총거래표(생산자)_new'!AE$186</f>
        <v>2.1874433134175387E-3</v>
      </c>
      <c r="AF32" s="63">
        <f>국산거래표_new!AF32/'A표_총거래표(생산자)_new'!AF$186</f>
        <v>2.5137548354030058E-2</v>
      </c>
      <c r="AG32" s="63">
        <f>국산거래표_new!AG32/'A표_총거래표(생산자)_new'!AG$186</f>
        <v>1.8605432889181997E-2</v>
      </c>
      <c r="AH32" s="63">
        <f>국산거래표_new!AH32/'A표_총거래표(생산자)_new'!AH$186</f>
        <v>9.733508113732265E-3</v>
      </c>
      <c r="AI32" s="63">
        <f>국산거래표_new!AI32/'A표_총거래표(생산자)_new'!AI$186</f>
        <v>2.2349294483224688E-2</v>
      </c>
      <c r="AJ32" s="63">
        <f>국산거래표_new!AJ32/'A표_총거래표(생산자)_new'!AJ$186</f>
        <v>6.6434805543232522E-4</v>
      </c>
      <c r="AK32" s="65">
        <f t="shared" si="0"/>
        <v>0.32673018331917875</v>
      </c>
    </row>
    <row r="33" spans="1:37" ht="13.5" customHeight="1">
      <c r="A33" s="44" t="s">
        <v>77</v>
      </c>
      <c r="B33" s="15" t="s">
        <v>43</v>
      </c>
      <c r="C33" s="63">
        <f>국산거래표_new!C33/'A표_총거래표(생산자)_new'!C$186</f>
        <v>1.6237874380119185E-2</v>
      </c>
      <c r="D33" s="63">
        <f>국산거래표_new!D33/'A표_총거래표(생산자)_new'!D$186</f>
        <v>4.7908824339442234E-2</v>
      </c>
      <c r="E33" s="63">
        <f>국산거래표_new!E33/'A표_총거래표(생산자)_new'!E$186</f>
        <v>5.0579099108256538E-2</v>
      </c>
      <c r="F33" s="63">
        <f>국산거래표_new!F33/'A표_총거래표(생산자)_new'!F$186</f>
        <v>2.4803240859846556E-2</v>
      </c>
      <c r="G33" s="63">
        <f>국산거래표_new!G33/'A표_총거래표(생산자)_new'!G$186</f>
        <v>2.8065300589206196E-2</v>
      </c>
      <c r="H33" s="63">
        <f>국산거래표_new!H33/'A표_총거래표(생산자)_new'!H$186</f>
        <v>1.6474264484206729E-2</v>
      </c>
      <c r="I33" s="168">
        <f>국산거래표_new!I33/'A표_총거래표(생산자)_new'!I$186</f>
        <v>4.4762052582621593E-2</v>
      </c>
      <c r="J33" s="168">
        <f>국산거래표_new!J33/'A표_총거래표(생산자)_new'!J$186</f>
        <v>3.0187942222518742E-2</v>
      </c>
      <c r="K33" s="63">
        <f>국산거래표_new!K33/'A표_총거래표(생산자)_new'!K$186</f>
        <v>4.11177613137323E-2</v>
      </c>
      <c r="L33" s="63">
        <f>국산거래표_new!L33/'A표_총거래표(생산자)_new'!L$186</f>
        <v>3.2321306416467417E-2</v>
      </c>
      <c r="M33" s="63">
        <f>국산거래표_new!M33/'A표_총거래표(생산자)_new'!M$186</f>
        <v>2.9255567234959718E-2</v>
      </c>
      <c r="N33" s="63">
        <f>국산거래표_new!N33/'A표_총거래표(생산자)_new'!N$186</f>
        <v>2.6555798606188726E-2</v>
      </c>
      <c r="O33" s="63">
        <f>국산거래표_new!O33/'A표_총거래표(생산자)_new'!O$186</f>
        <v>3.3824482648563539E-2</v>
      </c>
      <c r="P33" s="63">
        <f>국산거래표_new!P33/'A표_총거래표(생산자)_new'!P$186</f>
        <v>3.5646251699336953E-2</v>
      </c>
      <c r="Q33" s="63">
        <f>국산거래표_new!Q33/'A표_총거래표(생산자)_new'!Q$186</f>
        <v>2.8722246955588393E-2</v>
      </c>
      <c r="R33" s="63">
        <f>국산거래표_new!R33/'A표_총거래표(생산자)_new'!R$186</f>
        <v>4.4657395126998269E-2</v>
      </c>
      <c r="S33" s="63">
        <f>국산거래표_new!S33/'A표_총거래표(생산자)_new'!S$186</f>
        <v>3.9070920835558659E-2</v>
      </c>
      <c r="T33" s="63">
        <f>국산거래표_new!T33/'A표_총거래표(생산자)_new'!T$186</f>
        <v>1.4188535246850582E-2</v>
      </c>
      <c r="U33" s="63">
        <f>국산거래표_new!U33/'A표_총거래표(생산자)_new'!U$186</f>
        <v>6.9106117798934039E-2</v>
      </c>
      <c r="V33" s="63">
        <f>국산거래표_new!V33/'A표_총거래표(생산자)_new'!V$186</f>
        <v>7.9499547769783643E-2</v>
      </c>
      <c r="W33" s="63">
        <f>국산거래표_new!W33/'A표_총거래표(생산자)_new'!W$186</f>
        <v>4.8740608155382559E-2</v>
      </c>
      <c r="X33" s="63">
        <f>국산거래표_new!X33/'A표_총거래표(생산자)_new'!X$186</f>
        <v>3.3181212882902648E-2</v>
      </c>
      <c r="Y33" s="63">
        <f>국산거래표_new!Y33/'A표_총거래표(생산자)_new'!Y$186</f>
        <v>2.1330814803338316E-2</v>
      </c>
      <c r="Z33" s="63">
        <f>국산거래표_new!Z33/'A표_총거래표(생산자)_new'!Z$186</f>
        <v>5.1839221112753665E-2</v>
      </c>
      <c r="AA33" s="63">
        <f>국산거래표_new!AA33/'A표_총거래표(생산자)_new'!AA$186</f>
        <v>2.2819837800452252E-2</v>
      </c>
      <c r="AB33" s="63">
        <f>국산거래표_new!AB33/'A표_총거래표(생산자)_new'!AB$186</f>
        <v>1.514666692017607E-2</v>
      </c>
      <c r="AC33" s="63">
        <f>국산거래표_new!AC33/'A표_총거래표(생산자)_new'!AC$186</f>
        <v>5.8816134121063596E-2</v>
      </c>
      <c r="AD33" s="63">
        <f>국산거래표_new!AD33/'A표_총거래표(생산자)_new'!AD$186</f>
        <v>4.3706383595712578E-2</v>
      </c>
      <c r="AE33" s="63">
        <f>국산거래표_new!AE33/'A표_총거래표(생산자)_new'!AE$186</f>
        <v>1.4469095354630174E-2</v>
      </c>
      <c r="AF33" s="63">
        <f>국산거래표_new!AF33/'A표_총거래표(생산자)_new'!AF$186</f>
        <v>2.8479801511214951E-2</v>
      </c>
      <c r="AG33" s="63">
        <f>국산거래표_new!AG33/'A표_총거래표(생산자)_new'!AG$186</f>
        <v>6.9480887129786829E-3</v>
      </c>
      <c r="AH33" s="63">
        <f>국산거래표_new!AH33/'A표_총거래표(생산자)_new'!AH$186</f>
        <v>1.8670269599739071E-2</v>
      </c>
      <c r="AI33" s="63">
        <f>국산거래표_new!AI33/'A표_총거래표(생산자)_new'!AI$186</f>
        <v>2.8676761056035276E-2</v>
      </c>
      <c r="AJ33" s="63">
        <f>국산거래표_new!AJ33/'A표_총거래표(생산자)_new'!AJ$186</f>
        <v>1.4591752641804445E-3</v>
      </c>
      <c r="AK33" s="65">
        <f t="shared" si="0"/>
        <v>1.1272686011097401</v>
      </c>
    </row>
    <row r="34" spans="1:37" ht="13.5" customHeight="1">
      <c r="A34" s="44" t="s">
        <v>78</v>
      </c>
      <c r="B34" s="15" t="s">
        <v>18</v>
      </c>
      <c r="C34" s="63">
        <f>국산거래표_new!C34/'A표_총거래표(생산자)_new'!C$186</f>
        <v>2.4301565091429615E-3</v>
      </c>
      <c r="D34" s="63">
        <f>국산거래표_new!D34/'A표_총거래표(생산자)_new'!D$186</f>
        <v>4.7530158560897325E-2</v>
      </c>
      <c r="E34" s="63">
        <f>국산거래표_new!E34/'A표_총거래표(생산자)_new'!E$186</f>
        <v>4.5098618275851892E-3</v>
      </c>
      <c r="F34" s="63">
        <f>국산거래표_new!F34/'A표_총거래표(생산자)_new'!F$186</f>
        <v>6.7760406313863717E-3</v>
      </c>
      <c r="G34" s="63">
        <f>국산거래표_new!G34/'A표_총거래표(생산자)_new'!G$186</f>
        <v>1.0625052865600282E-2</v>
      </c>
      <c r="H34" s="63">
        <f>국산거래표_new!H34/'A표_총거래표(생산자)_new'!H$186</f>
        <v>3.3000974847692578E-3</v>
      </c>
      <c r="I34" s="168">
        <f>국산거래표_new!I34/'A표_총거래표(생산자)_new'!I$186</f>
        <v>4.2303417319003809E-3</v>
      </c>
      <c r="J34" s="168">
        <f>국산거래표_new!J34/'A표_총거래표(생산자)_new'!J$186</f>
        <v>2.6230084709778488E-3</v>
      </c>
      <c r="K34" s="63">
        <f>국산거래표_new!K34/'A표_총거래표(생산자)_new'!K$186</f>
        <v>6.2836033484534879E-3</v>
      </c>
      <c r="L34" s="63">
        <f>국산거래표_new!L34/'A표_총거래표(생산자)_new'!L$186</f>
        <v>9.9687329454656356E-3</v>
      </c>
      <c r="M34" s="63">
        <f>국산거래표_new!M34/'A표_총거래표(생산자)_new'!M$186</f>
        <v>9.462731185987611E-3</v>
      </c>
      <c r="N34" s="63">
        <f>국산거래표_new!N34/'A표_총거래표(생산자)_new'!N$186</f>
        <v>7.4691912336149616E-3</v>
      </c>
      <c r="O34" s="63">
        <f>국산거래표_new!O34/'A표_총거래표(생산자)_new'!O$186</f>
        <v>4.8176503878442252E-3</v>
      </c>
      <c r="P34" s="63">
        <f>국산거래표_new!P34/'A표_총거래표(생산자)_new'!P$186</f>
        <v>4.1742393804753593E-3</v>
      </c>
      <c r="Q34" s="63">
        <f>국산거래표_new!Q34/'A표_총거래표(생산자)_new'!Q$186</f>
        <v>1.134173666244887E-2</v>
      </c>
      <c r="R34" s="63">
        <f>국산거래표_new!R34/'A표_총거래표(생산자)_new'!R$186</f>
        <v>6.8774539600208948E-3</v>
      </c>
      <c r="S34" s="63">
        <f>국산거래표_new!S34/'A표_총거래표(생산자)_new'!S$186</f>
        <v>4.1685176901788489E-2</v>
      </c>
      <c r="T34" s="63">
        <f>국산거래표_new!T34/'A표_총거래표(생산자)_new'!T$186</f>
        <v>8.2048513042033561E-3</v>
      </c>
      <c r="U34" s="63">
        <f>국산거래표_new!U34/'A표_총거래표(생산자)_new'!U$186</f>
        <v>3.2657847002154593E-2</v>
      </c>
      <c r="V34" s="63">
        <f>국산거래표_new!V34/'A표_총거래표(생산자)_new'!V$186</f>
        <v>2.786606884111471E-2</v>
      </c>
      <c r="W34" s="63">
        <f>국산거래표_new!W34/'A표_총거래표(생산자)_new'!W$186</f>
        <v>2.3884528534525194E-2</v>
      </c>
      <c r="X34" s="63">
        <f>국산거래표_new!X34/'A표_총거래표(생산자)_new'!X$186</f>
        <v>3.3205637055680484E-2</v>
      </c>
      <c r="Y34" s="63">
        <f>국산거래표_new!Y34/'A표_총거래표(생산자)_new'!Y$186</f>
        <v>7.6899761649235187E-3</v>
      </c>
      <c r="Z34" s="63">
        <f>국산거래표_new!Z34/'A표_총거래표(생산자)_new'!Z$186</f>
        <v>3.7890647100536502E-2</v>
      </c>
      <c r="AA34" s="63">
        <f>국산거래표_new!AA34/'A표_총거래표(생산자)_new'!AA$186</f>
        <v>3.5383559966853148E-2</v>
      </c>
      <c r="AB34" s="63">
        <f>국산거래표_new!AB34/'A표_총거래표(생산자)_new'!AB$186</f>
        <v>4.3039844802210001E-2</v>
      </c>
      <c r="AC34" s="63">
        <f>국산거래표_new!AC34/'A표_총거래표(생산자)_new'!AC$186</f>
        <v>4.3380771118296288E-2</v>
      </c>
      <c r="AD34" s="63">
        <f>국산거래표_new!AD34/'A표_총거래표(생산자)_new'!AD$186</f>
        <v>7.0410620798603815E-2</v>
      </c>
      <c r="AE34" s="63">
        <f>국산거래표_new!AE34/'A표_총거래표(생산자)_new'!AE$186</f>
        <v>2.5164886909670933E-2</v>
      </c>
      <c r="AF34" s="63">
        <f>국산거래표_new!AF34/'A표_총거래표(생산자)_new'!AF$186</f>
        <v>2.3972120280138922E-2</v>
      </c>
      <c r="AG34" s="63">
        <f>국산거래표_new!AG34/'A표_총거래표(생산자)_new'!AG$186</f>
        <v>1.3761129114130393E-2</v>
      </c>
      <c r="AH34" s="63">
        <f>국산거래표_new!AH34/'A표_총거래표(생산자)_new'!AH$186</f>
        <v>4.7602002076672562E-2</v>
      </c>
      <c r="AI34" s="63">
        <f>국산거래표_new!AI34/'A표_총거래표(생산자)_new'!AI$186</f>
        <v>1.0778416182379154E-2</v>
      </c>
      <c r="AJ34" s="63">
        <f>국산거래표_new!AJ34/'A표_총거래표(생산자)_new'!AJ$186</f>
        <v>1.0454268650401327E-3</v>
      </c>
      <c r="AK34" s="65">
        <f t="shared" si="0"/>
        <v>0.67004356820549293</v>
      </c>
    </row>
    <row r="35" spans="1:37" ht="13.5" customHeight="1">
      <c r="A35" s="44" t="s">
        <v>79</v>
      </c>
      <c r="B35" s="15" t="s">
        <v>80</v>
      </c>
      <c r="C35" s="63">
        <f>국산거래표_new!C35/'A표_총거래표(생산자)_new'!C$186</f>
        <v>0</v>
      </c>
      <c r="D35" s="63">
        <f>국산거래표_new!D35/'A표_총거래표(생산자)_new'!D$186</f>
        <v>0</v>
      </c>
      <c r="E35" s="63">
        <f>국산거래표_new!E35/'A표_총거래표(생산자)_new'!E$186</f>
        <v>0</v>
      </c>
      <c r="F35" s="63">
        <f>국산거래표_new!F35/'A표_총거래표(생산자)_new'!F$186</f>
        <v>0</v>
      </c>
      <c r="G35" s="63">
        <f>국산거래표_new!G35/'A표_총거래표(생산자)_new'!G$186</f>
        <v>0</v>
      </c>
      <c r="H35" s="63">
        <f>국산거래표_new!H35/'A표_총거래표(생산자)_new'!H$186</f>
        <v>0</v>
      </c>
      <c r="I35" s="168">
        <f>국산거래표_new!I35/'A표_총거래표(생산자)_new'!I$186</f>
        <v>0</v>
      </c>
      <c r="J35" s="168">
        <f>국산거래표_new!J35/'A표_총거래표(생산자)_new'!J$186</f>
        <v>0</v>
      </c>
      <c r="K35" s="63">
        <f>국산거래표_new!K35/'A표_총거래표(생산자)_new'!K$186</f>
        <v>0</v>
      </c>
      <c r="L35" s="63">
        <f>국산거래표_new!L35/'A표_총거래표(생산자)_new'!L$186</f>
        <v>0</v>
      </c>
      <c r="M35" s="63">
        <f>국산거래표_new!M35/'A표_총거래표(생산자)_new'!M$186</f>
        <v>0</v>
      </c>
      <c r="N35" s="63">
        <f>국산거래표_new!N35/'A표_총거래표(생산자)_new'!N$186</f>
        <v>0</v>
      </c>
      <c r="O35" s="63">
        <f>국산거래표_new!O35/'A표_총거래표(생산자)_new'!O$186</f>
        <v>0</v>
      </c>
      <c r="P35" s="63">
        <f>국산거래표_new!P35/'A표_총거래표(생산자)_new'!P$186</f>
        <v>0</v>
      </c>
      <c r="Q35" s="63">
        <f>국산거래표_new!Q35/'A표_총거래표(생산자)_new'!Q$186</f>
        <v>0</v>
      </c>
      <c r="R35" s="63">
        <f>국산거래표_new!R35/'A표_총거래표(생산자)_new'!R$186</f>
        <v>0</v>
      </c>
      <c r="S35" s="63">
        <f>국산거래표_new!S35/'A표_총거래표(생산자)_new'!S$186</f>
        <v>0</v>
      </c>
      <c r="T35" s="63">
        <f>국산거래표_new!T35/'A표_총거래표(생산자)_new'!T$186</f>
        <v>0</v>
      </c>
      <c r="U35" s="63">
        <f>국산거래표_new!U35/'A표_총거래표(생산자)_new'!U$186</f>
        <v>0</v>
      </c>
      <c r="V35" s="63">
        <f>국산거래표_new!V35/'A표_총거래표(생산자)_new'!V$186</f>
        <v>0</v>
      </c>
      <c r="W35" s="63">
        <f>국산거래표_new!W35/'A표_총거래표(생산자)_new'!W$186</f>
        <v>0</v>
      </c>
      <c r="X35" s="63">
        <f>국산거래표_new!X35/'A표_총거래표(생산자)_new'!X$186</f>
        <v>1.2214527450051132E-3</v>
      </c>
      <c r="Y35" s="63">
        <f>국산거래표_new!Y35/'A표_총거래표(생산자)_new'!Y$186</f>
        <v>0</v>
      </c>
      <c r="Z35" s="63">
        <f>국산거래표_new!Z35/'A표_총거래표(생산자)_new'!Z$186</f>
        <v>0</v>
      </c>
      <c r="AA35" s="63">
        <f>국산거래표_new!AA35/'A표_총거래표(생산자)_new'!AA$186</f>
        <v>0</v>
      </c>
      <c r="AB35" s="63">
        <f>국산거래표_new!AB35/'A표_총거래표(생산자)_new'!AB$186</f>
        <v>0</v>
      </c>
      <c r="AC35" s="63">
        <f>국산거래표_new!AC35/'A표_총거래표(생산자)_new'!AC$186</f>
        <v>0</v>
      </c>
      <c r="AD35" s="63">
        <f>국산거래표_new!AD35/'A표_총거래표(생산자)_new'!AD$186</f>
        <v>0</v>
      </c>
      <c r="AE35" s="63">
        <f>국산거래표_new!AE35/'A표_총거래표(생산자)_new'!AE$186</f>
        <v>0</v>
      </c>
      <c r="AF35" s="63">
        <f>국산거래표_new!AF35/'A표_총거래표(생산자)_new'!AF$186</f>
        <v>0</v>
      </c>
      <c r="AG35" s="63">
        <f>국산거래표_new!AG35/'A표_총거래표(생산자)_new'!AG$186</f>
        <v>0</v>
      </c>
      <c r="AH35" s="63">
        <f>국산거래표_new!AH35/'A표_총거래표(생산자)_new'!AH$186</f>
        <v>0</v>
      </c>
      <c r="AI35" s="63">
        <f>국산거래표_new!AI35/'A표_총거래표(생산자)_new'!AI$186</f>
        <v>0</v>
      </c>
      <c r="AJ35" s="63">
        <f>국산거래표_new!AJ35/'A표_총거래표(생산자)_new'!AJ$186</f>
        <v>0.86177815396500246</v>
      </c>
      <c r="AK35" s="65">
        <f t="shared" si="0"/>
        <v>0.86299960671000753</v>
      </c>
    </row>
    <row r="36" spans="1:37" ht="13.5" customHeight="1">
      <c r="A36" s="44" t="s">
        <v>81</v>
      </c>
      <c r="B36" s="15" t="s">
        <v>19</v>
      </c>
      <c r="C36" s="63">
        <f>국산거래표_new!C36/'A표_총거래표(생산자)_new'!C$186</f>
        <v>4.3919060452352282E-5</v>
      </c>
      <c r="D36" s="63">
        <f>국산거래표_new!D36/'A표_총거래표(생산자)_new'!D$186</f>
        <v>2.102655785673292E-4</v>
      </c>
      <c r="E36" s="63">
        <f>국산거래표_new!E36/'A표_총거래표(생산자)_new'!E$186</f>
        <v>2.2927718747907185E-4</v>
      </c>
      <c r="F36" s="63">
        <f>국산거래표_new!F36/'A표_총거래표(생산자)_new'!F$186</f>
        <v>1.5421860724178083E-4</v>
      </c>
      <c r="G36" s="63">
        <f>국산거래표_new!G36/'A표_총거래표(생산자)_new'!G$186</f>
        <v>4.0594711179850229E-4</v>
      </c>
      <c r="H36" s="63">
        <f>국산거래표_new!H36/'A표_총거래표(생산자)_new'!H$186</f>
        <v>1.8021332967412882E-4</v>
      </c>
      <c r="I36" s="168">
        <f>국산거래표_new!I36/'A표_총거래표(생산자)_new'!I$186</f>
        <v>3.5930872740320464E-4</v>
      </c>
      <c r="J36" s="168">
        <f>국산거래표_new!J36/'A표_총거래표(생산자)_new'!J$186</f>
        <v>2.7221246273156864E-4</v>
      </c>
      <c r="K36" s="63">
        <f>국산거래표_new!K36/'A표_총거래표(생산자)_new'!K$186</f>
        <v>3.9356628900514613E-4</v>
      </c>
      <c r="L36" s="63">
        <f>국산거래표_new!L36/'A표_총거래표(생산자)_new'!L$186</f>
        <v>4.2473880754591504E-4</v>
      </c>
      <c r="M36" s="63">
        <f>국산거래표_new!M36/'A표_총거래표(생산자)_new'!M$186</f>
        <v>7.8494449071125417E-4</v>
      </c>
      <c r="N36" s="63">
        <f>국산거래표_new!N36/'A표_총거래표(생산자)_new'!N$186</f>
        <v>2.6223865819757569E-4</v>
      </c>
      <c r="O36" s="63">
        <f>국산거래표_new!O36/'A표_총거래표(생산자)_new'!O$186</f>
        <v>4.4954803725055494E-4</v>
      </c>
      <c r="P36" s="63">
        <f>국산거래표_new!P36/'A표_총거래표(생산자)_new'!P$186</f>
        <v>5.5482601127811062E-4</v>
      </c>
      <c r="Q36" s="63">
        <f>국산거래표_new!Q36/'A표_총거래표(생산자)_new'!Q$186</f>
        <v>1.9419185103079762E-4</v>
      </c>
      <c r="R36" s="63">
        <f>국산거래표_new!R36/'A표_총거래표(생산자)_new'!R$186</f>
        <v>1.5509650965825594E-4</v>
      </c>
      <c r="S36" s="63">
        <f>국산거래표_new!S36/'A표_총거래표(생산자)_new'!S$186</f>
        <v>2.6063533614387262E-3</v>
      </c>
      <c r="T36" s="63">
        <f>국산거래표_new!T36/'A표_총거래표(생산자)_new'!T$186</f>
        <v>1.7028088302386359E-4</v>
      </c>
      <c r="U36" s="63">
        <f>국산거래표_new!U36/'A표_총거래표(생산자)_new'!U$186</f>
        <v>6.0527734860769467E-4</v>
      </c>
      <c r="V36" s="63">
        <f>국산거래표_new!V36/'A표_총거래표(생산자)_new'!V$186</f>
        <v>2.1577362970705977E-4</v>
      </c>
      <c r="W36" s="63">
        <f>국산거래표_new!W36/'A표_총거래표(생산자)_new'!W$186</f>
        <v>2.1783850611499941E-3</v>
      </c>
      <c r="X36" s="63">
        <f>국산거래표_new!X36/'A표_총거래표(생산자)_new'!X$186</f>
        <v>3.140018303709241E-4</v>
      </c>
      <c r="Y36" s="63">
        <f>국산거래표_new!Y36/'A표_총거래표(생산자)_new'!Y$186</f>
        <v>4.1781868761604199E-4</v>
      </c>
      <c r="Z36" s="63">
        <f>국산거래표_new!Z36/'A표_총거래표(생산자)_new'!Z$186</f>
        <v>6.8670666764689527E-4</v>
      </c>
      <c r="AA36" s="63">
        <f>국산거래표_new!AA36/'A표_총거래표(생산자)_new'!AA$186</f>
        <v>1.4710111557135195E-3</v>
      </c>
      <c r="AB36" s="63">
        <f>국산거래표_new!AB36/'A표_총거래표(생산자)_new'!AB$186</f>
        <v>6.7858159148600149E-4</v>
      </c>
      <c r="AC36" s="63">
        <f>국산거래표_new!AC36/'A표_총거래표(생산자)_new'!AC$186</f>
        <v>1.184032875773246E-3</v>
      </c>
      <c r="AD36" s="63">
        <f>국산거래표_new!AD36/'A표_총거래표(생산자)_new'!AD$186</f>
        <v>5.777316034133957E-4</v>
      </c>
      <c r="AE36" s="63">
        <f>국산거래표_new!AE36/'A표_총거래표(생산자)_new'!AE$186</f>
        <v>2.2986275736995119E-5</v>
      </c>
      <c r="AF36" s="63">
        <f>국산거래표_new!AF36/'A표_총거래표(생산자)_new'!AF$186</f>
        <v>4.9321300176649455E-4</v>
      </c>
      <c r="AG36" s="63">
        <f>국산거래표_new!AG36/'A표_총거래표(생산자)_new'!AG$186</f>
        <v>1.0964119599197455E-4</v>
      </c>
      <c r="AH36" s="63">
        <f>국산거래표_new!AH36/'A표_총거래표(생산자)_new'!AH$186</f>
        <v>3.2444820968405264E-4</v>
      </c>
      <c r="AI36" s="63">
        <f>국산거래표_new!AI36/'A표_총거래표(생산자)_new'!AI$186</f>
        <v>1.1500106341761896E-3</v>
      </c>
      <c r="AJ36" s="63">
        <f>국산거래표_new!AJ36/'A표_총거래표(생산자)_new'!AJ$186</f>
        <v>1.3466245441446831E-4</v>
      </c>
      <c r="AK36" s="65">
        <f t="shared" si="0"/>
        <v>1.8415429187743089E-2</v>
      </c>
    </row>
    <row r="37" spans="1:37" ht="13.5" customHeight="1">
      <c r="A37" s="44" t="s">
        <v>82</v>
      </c>
      <c r="B37" s="15" t="s">
        <v>83</v>
      </c>
      <c r="C37" s="63">
        <f>국산거래표_new!C37/'A표_총거래표(생산자)_new'!C$186</f>
        <v>1.1323773001291554E-3</v>
      </c>
      <c r="D37" s="63">
        <f>국산거래표_new!D37/'A표_총거래표(생산자)_new'!D$186</f>
        <v>2.7216250825808671E-3</v>
      </c>
      <c r="E37" s="63">
        <f>국산거래표_new!E37/'A표_총거래표(생산자)_new'!E$186</f>
        <v>7.0408749540728773E-4</v>
      </c>
      <c r="F37" s="63">
        <f>국산거래표_new!F37/'A표_총거래표(생산자)_new'!F$186</f>
        <v>7.7313123037115686E-4</v>
      </c>
      <c r="G37" s="63">
        <f>국산거래표_new!G37/'A표_총거래표(생산자)_new'!G$186</f>
        <v>1.2405853707722293E-3</v>
      </c>
      <c r="H37" s="63">
        <f>국산거래표_new!H37/'A표_총거래표(생산자)_new'!H$186</f>
        <v>1.8365686040865443E-4</v>
      </c>
      <c r="I37" s="168">
        <f>국산거래표_new!I37/'A표_총거래표(생산자)_new'!I$186</f>
        <v>5.763410222166161E-4</v>
      </c>
      <c r="J37" s="168">
        <f>국산거래표_new!J37/'A표_총거래표(생산자)_new'!J$186</f>
        <v>4.3686531975146347E-4</v>
      </c>
      <c r="K37" s="63">
        <f>국산거래표_new!K37/'A표_총거래표(생산자)_new'!K$186</f>
        <v>8.3381988074020686E-4</v>
      </c>
      <c r="L37" s="63">
        <f>국산거래표_new!L37/'A표_총거래표(생산자)_new'!L$186</f>
        <v>5.863080804667819E-4</v>
      </c>
      <c r="M37" s="63">
        <f>국산거래표_new!M37/'A표_총거래표(생산자)_new'!M$186</f>
        <v>1.2722047976794514E-3</v>
      </c>
      <c r="N37" s="63">
        <f>국산거래표_new!N37/'A표_총거래표(생산자)_new'!N$186</f>
        <v>4.7307832676333258E-4</v>
      </c>
      <c r="O37" s="63">
        <f>국산거래표_new!O37/'A표_총거래표(생산자)_new'!O$186</f>
        <v>6.8670096520819109E-4</v>
      </c>
      <c r="P37" s="63">
        <f>국산거래표_new!P37/'A표_총거래표(생산자)_new'!P$186</f>
        <v>1.1578989346931921E-3</v>
      </c>
      <c r="Q37" s="63">
        <f>국산거래표_new!Q37/'A표_총거래표(생산자)_new'!Q$186</f>
        <v>8.1919246094845893E-4</v>
      </c>
      <c r="R37" s="63">
        <f>국산거래표_new!R37/'A표_총거래표(생산자)_new'!R$186</f>
        <v>1.0588990483417751E-3</v>
      </c>
      <c r="S37" s="63">
        <f>국산거래표_new!S37/'A표_총거래표(생산자)_new'!S$186</f>
        <v>2.1450729992985706E-3</v>
      </c>
      <c r="T37" s="63">
        <f>국산거래표_new!T37/'A표_총거래표(생산자)_new'!T$186</f>
        <v>2.4279596093850953E-4</v>
      </c>
      <c r="U37" s="63">
        <f>국산거래표_new!U37/'A표_총거래표(생산자)_new'!U$186</f>
        <v>3.3896249242207112E-3</v>
      </c>
      <c r="V37" s="63">
        <f>국산거래표_new!V37/'A표_총거래표(생산자)_new'!V$186</f>
        <v>1.157406991436689E-3</v>
      </c>
      <c r="W37" s="63">
        <f>국산거래표_new!W37/'A표_총거래표(생산자)_new'!W$186</f>
        <v>3.2674149136851004E-3</v>
      </c>
      <c r="X37" s="63">
        <f>국산거래표_new!X37/'A표_총거래표(생산자)_new'!X$186</f>
        <v>6.7485395255556296E-4</v>
      </c>
      <c r="Y37" s="63">
        <f>국산거래표_new!Y37/'A표_총거래표(생산자)_new'!Y$186</f>
        <v>2.1937570617888229E-3</v>
      </c>
      <c r="Z37" s="63">
        <f>국산거래표_new!Z37/'A표_총거래표(생산자)_new'!Z$186</f>
        <v>1.3976319874974402E-3</v>
      </c>
      <c r="AA37" s="63">
        <f>국산거래표_new!AA37/'A표_총거래표(생산자)_new'!AA$186</f>
        <v>1.8503598703307044E-3</v>
      </c>
      <c r="AB37" s="63">
        <f>국산거래표_new!AB37/'A표_총거래표(생산자)_new'!AB$186</f>
        <v>8.2542254797722807E-4</v>
      </c>
      <c r="AC37" s="63">
        <f>국산거래표_new!AC37/'A표_총거래표(생산자)_new'!AC$186</f>
        <v>2.1904502774509065E-3</v>
      </c>
      <c r="AD37" s="63">
        <f>국산거래표_new!AD37/'A표_총거래표(생산자)_new'!AD$186</f>
        <v>1.8913879276082129E-3</v>
      </c>
      <c r="AE37" s="63">
        <f>국산거래표_new!AE37/'A표_총거래표(생산자)_new'!AE$186</f>
        <v>3.6507991934601634E-4</v>
      </c>
      <c r="AF37" s="63">
        <f>국산거래표_new!AF37/'A표_총거래표(생산자)_new'!AF$186</f>
        <v>1.9057529575626309E-3</v>
      </c>
      <c r="AG37" s="63">
        <f>국산거래표_new!AG37/'A표_총거래표(생산자)_new'!AG$186</f>
        <v>2.5019483922248879E-3</v>
      </c>
      <c r="AH37" s="63">
        <f>국산거래표_new!AH37/'A표_총거래표(생산자)_new'!AH$186</f>
        <v>3.1465077637047026E-3</v>
      </c>
      <c r="AI37" s="63">
        <f>국산거래표_new!AI37/'A표_총거래표(생산자)_new'!AI$186</f>
        <v>2.0405731045844725E-3</v>
      </c>
      <c r="AJ37" s="63">
        <f>국산거래표_new!AJ37/'A표_총거래표(생산자)_new'!AJ$186</f>
        <v>1.699217065318661E-4</v>
      </c>
      <c r="AK37" s="65">
        <f t="shared" si="0"/>
        <v>4.6012735435221844E-2</v>
      </c>
    </row>
    <row r="38" spans="1:37" ht="13.5" customHeight="1">
      <c r="A38" s="44" t="s">
        <v>84</v>
      </c>
      <c r="B38" s="15" t="s">
        <v>85</v>
      </c>
      <c r="C38" s="63">
        <f>국산거래표_new!C38/'A표_총거래표(생산자)_new'!C$186</f>
        <v>8.8433519172749053E-4</v>
      </c>
      <c r="D38" s="63">
        <f>국산거래표_new!D38/'A표_총거래표(생산자)_new'!D$186</f>
        <v>6.8509031188205153E-3</v>
      </c>
      <c r="E38" s="63">
        <f>국산거래표_new!E38/'A표_총거래표(생산자)_new'!E$186</f>
        <v>7.3197752273233233E-4</v>
      </c>
      <c r="F38" s="63">
        <f>국산거래표_new!F38/'A표_총거래표(생산자)_new'!F$186</f>
        <v>1.373828383994526E-3</v>
      </c>
      <c r="G38" s="63">
        <f>국산거래표_new!G38/'A표_총거래표(생산자)_new'!G$186</f>
        <v>1.730724688878913E-3</v>
      </c>
      <c r="H38" s="63">
        <f>국산거래표_new!H38/'A표_총거래표(생산자)_new'!H$186</f>
        <v>3.7232043326684941E-4</v>
      </c>
      <c r="I38" s="168">
        <f>국산거래표_new!I38/'A표_총거래표(생산자)_new'!I$186</f>
        <v>8.7012320932709547E-4</v>
      </c>
      <c r="J38" s="168">
        <f>국산거래표_new!J38/'A표_총거래표(생산자)_new'!J$186</f>
        <v>6.5660031634269967E-4</v>
      </c>
      <c r="K38" s="63">
        <f>국산거래표_new!K38/'A표_총거래표(생산자)_new'!K$186</f>
        <v>1.2606752199851403E-3</v>
      </c>
      <c r="L38" s="63">
        <f>국산거래표_new!L38/'A표_총거래표(생산자)_new'!L$186</f>
        <v>1.3534194988875196E-3</v>
      </c>
      <c r="M38" s="63">
        <f>국산거래표_new!M38/'A표_총거래표(생산자)_new'!M$186</f>
        <v>1.8316374148827858E-3</v>
      </c>
      <c r="N38" s="63">
        <f>국산거래표_new!N38/'A표_총거래표(생산자)_new'!N$186</f>
        <v>3.9908479405574283E-4</v>
      </c>
      <c r="O38" s="63">
        <f>국산거래표_new!O38/'A표_총거래표(생산자)_new'!O$186</f>
        <v>7.3670863306989185E-4</v>
      </c>
      <c r="P38" s="63">
        <f>국산거래표_new!P38/'A표_총거래표(생산자)_new'!P$186</f>
        <v>1.2102648144100764E-3</v>
      </c>
      <c r="Q38" s="63">
        <f>국산거래표_new!Q38/'A표_총거래표(생산자)_new'!Q$186</f>
        <v>3.3326049322143667E-4</v>
      </c>
      <c r="R38" s="63">
        <f>국산거래표_new!R38/'A표_총거래표(생산자)_new'!R$186</f>
        <v>1.1388831026654246E-3</v>
      </c>
      <c r="S38" s="63">
        <f>국산거래표_new!S38/'A표_총거래표(생산자)_new'!S$186</f>
        <v>2.7876507066464328E-3</v>
      </c>
      <c r="T38" s="63">
        <f>국산거래표_new!T38/'A표_총거래표(생산자)_new'!T$186</f>
        <v>3.6394670843914906E-4</v>
      </c>
      <c r="U38" s="63">
        <f>국산거래표_new!U38/'A표_총거래표(생산자)_new'!U$186</f>
        <v>2.9522701728413731E-3</v>
      </c>
      <c r="V38" s="63">
        <f>국산거래표_new!V38/'A표_총거래표(생산자)_new'!V$186</f>
        <v>7.6534099417084817E-4</v>
      </c>
      <c r="W38" s="63">
        <f>국산거래표_new!W38/'A표_총거래표(생산자)_new'!W$186</f>
        <v>9.6332134301178722E-4</v>
      </c>
      <c r="X38" s="63">
        <f>국산거래표_new!X38/'A표_총거래표(생산자)_new'!X$186</f>
        <v>2.8668273990903638E-3</v>
      </c>
      <c r="Y38" s="63">
        <f>국산거래표_new!Y38/'A표_총거래표(생산자)_new'!Y$186</f>
        <v>6.0735920478780414E-4</v>
      </c>
      <c r="Z38" s="63">
        <f>국산거래표_new!Z38/'A표_총거래표(생산자)_new'!Z$186</f>
        <v>7.765442623674435E-3</v>
      </c>
      <c r="AA38" s="63">
        <f>국산거래표_new!AA38/'A표_총거래표(생산자)_new'!AA$186</f>
        <v>2.6794858773576103E-3</v>
      </c>
      <c r="AB38" s="63">
        <f>국산거래표_new!AB38/'A표_총거래표(생산자)_new'!AB$186</f>
        <v>9.9020979228856844E-4</v>
      </c>
      <c r="AC38" s="63">
        <f>국산거래표_new!AC38/'A표_총거래표(생산자)_new'!AC$186</f>
        <v>5.3587232625131797E-3</v>
      </c>
      <c r="AD38" s="63">
        <f>국산거래표_new!AD38/'A표_총거래표(생산자)_new'!AD$186</f>
        <v>3.697418510622298E-3</v>
      </c>
      <c r="AE38" s="63">
        <f>국산거래표_new!AE38/'A표_총거래표(생산자)_new'!AE$186</f>
        <v>6.8534252530276258E-4</v>
      </c>
      <c r="AF38" s="63">
        <f>국산거래표_new!AF38/'A표_총거래표(생산자)_new'!AF$186</f>
        <v>7.142802670928333E-3</v>
      </c>
      <c r="AG38" s="63">
        <f>국산거래표_new!AG38/'A표_총거래표(생산자)_new'!AG$186</f>
        <v>1.5470688518191707E-3</v>
      </c>
      <c r="AH38" s="63">
        <f>국산거래표_new!AH38/'A표_총거래표(생산자)_new'!AH$186</f>
        <v>3.6454102548848878E-2</v>
      </c>
      <c r="AI38" s="63">
        <f>국산거래표_new!AI38/'A표_총거래표(생산자)_new'!AI$186</f>
        <v>4.4267829769602651E-3</v>
      </c>
      <c r="AJ38" s="63">
        <f>국산거래표_new!AJ38/'A표_총거래표(생산자)_new'!AJ$186</f>
        <v>3.1952452201302841E-4</v>
      </c>
      <c r="AK38" s="65">
        <f t="shared" si="0"/>
        <v>0.10410836752758475</v>
      </c>
    </row>
    <row r="39" spans="1:37" ht="13.5" customHeight="1">
      <c r="A39" s="44" t="s">
        <v>86</v>
      </c>
      <c r="B39" s="15" t="s">
        <v>87</v>
      </c>
      <c r="C39" s="63">
        <f>국산거래표_new!C39/'A표_총거래표(생산자)_new'!C$186</f>
        <v>1.1868812186800765E-3</v>
      </c>
      <c r="D39" s="63">
        <f>국산거래표_new!D39/'A표_총거래표(생산자)_new'!D$186</f>
        <v>5.6715385076062637E-3</v>
      </c>
      <c r="E39" s="63">
        <f>국산거래표_new!E39/'A표_총거래표(생산자)_new'!E$186</f>
        <v>1.5781851849019171E-3</v>
      </c>
      <c r="F39" s="63">
        <f>국산거래표_new!F39/'A표_총거래표(생산자)_new'!F$186</f>
        <v>1.4224457286619672E-3</v>
      </c>
      <c r="G39" s="63">
        <f>국산거래표_new!G39/'A표_총거래표(생산자)_new'!G$186</f>
        <v>1.8815065749007323E-3</v>
      </c>
      <c r="H39" s="63">
        <f>국산거래표_new!H39/'A표_총거래표(생산자)_new'!H$186</f>
        <v>7.586755197576371E-4</v>
      </c>
      <c r="I39" s="168">
        <f>국산거래표_new!I39/'A표_총거래표(생산자)_new'!I$186</f>
        <v>9.1691782279928926E-4</v>
      </c>
      <c r="J39" s="168">
        <f>국산거래표_new!J39/'A표_총거래표(생산자)_new'!J$186</f>
        <v>6.2510012315751757E-4</v>
      </c>
      <c r="K39" s="63">
        <f>국산거래표_new!K39/'A표_총거래표(생산자)_new'!K$186</f>
        <v>2.6480927931881947E-3</v>
      </c>
      <c r="L39" s="63">
        <f>국산거래표_new!L39/'A표_총거래표(생산자)_new'!L$186</f>
        <v>1.8289610428212926E-3</v>
      </c>
      <c r="M39" s="63">
        <f>국산거래표_new!M39/'A표_총거래표(생산자)_new'!M$186</f>
        <v>2.5313647272489025E-3</v>
      </c>
      <c r="N39" s="63">
        <f>국산거래표_new!N39/'A표_총거래표(생산자)_new'!N$186</f>
        <v>1.0452243131266721E-3</v>
      </c>
      <c r="O39" s="63">
        <f>국산거래표_new!O39/'A표_총거래표(생산자)_new'!O$186</f>
        <v>1.4989391792781376E-3</v>
      </c>
      <c r="P39" s="63">
        <f>국산거래표_new!P39/'A표_총거래표(생산자)_new'!P$186</f>
        <v>1.9989824101376463E-3</v>
      </c>
      <c r="Q39" s="63">
        <f>국산거래표_new!Q39/'A표_총거래표(생산자)_new'!Q$186</f>
        <v>9.6474513965032194E-4</v>
      </c>
      <c r="R39" s="63">
        <f>국산거래표_new!R39/'A표_총거래표(생산자)_new'!R$186</f>
        <v>1.2371442907848453E-3</v>
      </c>
      <c r="S39" s="63">
        <f>국산거래표_new!S39/'A표_총거래표(생산자)_new'!S$186</f>
        <v>6.2871749948090073E-3</v>
      </c>
      <c r="T39" s="63">
        <f>국산거래표_new!T39/'A표_총거래표(생산자)_new'!T$186</f>
        <v>3.5892293451688701E-4</v>
      </c>
      <c r="U39" s="63">
        <f>국산거래표_new!U39/'A표_총거래표(생산자)_new'!U$186</f>
        <v>8.5127115420409374E-3</v>
      </c>
      <c r="V39" s="63">
        <f>국산거래표_new!V39/'A표_총거래표(생산자)_new'!V$186</f>
        <v>1.6849750646989979E-3</v>
      </c>
      <c r="W39" s="63">
        <f>국산거래표_new!W39/'A표_총거래표(생산자)_new'!W$186</f>
        <v>7.892023709570194E-3</v>
      </c>
      <c r="X39" s="63">
        <f>국산거래표_new!X39/'A표_총거래표(생산자)_new'!X$186</f>
        <v>1.4821295949319881E-2</v>
      </c>
      <c r="Y39" s="63">
        <f>국산거래표_new!Y39/'A표_총거래표(생산자)_new'!Y$186</f>
        <v>2.7901926684921648E-3</v>
      </c>
      <c r="Z39" s="63">
        <f>국산거래표_new!Z39/'A표_총거래표(생산자)_new'!Z$186</f>
        <v>3.0975917273664867E-3</v>
      </c>
      <c r="AA39" s="63">
        <f>국산거래표_new!AA39/'A표_총거래표(생산자)_new'!AA$186</f>
        <v>3.8979976997286052E-3</v>
      </c>
      <c r="AB39" s="63">
        <f>국산거래표_new!AB39/'A표_총거래표(생산자)_new'!AB$186</f>
        <v>1.4485317885506268E-3</v>
      </c>
      <c r="AC39" s="63">
        <f>국산거래표_new!AC39/'A표_총거래표(생산자)_new'!AC$186</f>
        <v>7.0521977008640201E-3</v>
      </c>
      <c r="AD39" s="63">
        <f>국산거래표_new!AD39/'A표_총거래표(생산자)_new'!AD$186</f>
        <v>9.8126991827287187E-3</v>
      </c>
      <c r="AE39" s="63">
        <f>국산거래표_new!AE39/'A표_총거래표(생산자)_new'!AE$186</f>
        <v>1.6069806080797086E-3</v>
      </c>
      <c r="AF39" s="63">
        <f>국산거래표_new!AF39/'A표_총거래표(생산자)_new'!AF$186</f>
        <v>8.4370575506590856E-3</v>
      </c>
      <c r="AG39" s="63">
        <f>국산거래표_new!AG39/'A표_총거래표(생산자)_new'!AG$186</f>
        <v>1.9469069489890046E-3</v>
      </c>
      <c r="AH39" s="63">
        <f>국산거래표_new!AH39/'A표_총거래표(생산자)_new'!AH$186</f>
        <v>7.8470810302448575E-3</v>
      </c>
      <c r="AI39" s="63">
        <f>국산거래표_new!AI39/'A표_총거래표(생산자)_new'!AI$186</f>
        <v>7.0452841886313516E-3</v>
      </c>
      <c r="AJ39" s="63">
        <f>국산거래표_new!AJ39/'A표_총거래표(생산자)_new'!AJ$186</f>
        <v>1.494036106669397E-4</v>
      </c>
      <c r="AK39" s="65">
        <f t="shared" si="0"/>
        <v>0.12248373347665888</v>
      </c>
    </row>
    <row r="40" spans="1:37" ht="13.5" customHeight="1">
      <c r="A40" s="44" t="s">
        <v>88</v>
      </c>
      <c r="B40" s="15" t="s">
        <v>89</v>
      </c>
      <c r="C40" s="63">
        <f>국산거래표_new!C40/'A표_총거래표(생산자)_new'!C$186</f>
        <v>3.6373838772548531E-3</v>
      </c>
      <c r="D40" s="63">
        <f>국산거래표_new!D40/'A표_총거래표(생산자)_new'!D$186</f>
        <v>2.9968477059556034E-3</v>
      </c>
      <c r="E40" s="63">
        <f>국산거래표_new!E40/'A표_총거래표(생산자)_new'!E$186</f>
        <v>4.5662449691245556E-4</v>
      </c>
      <c r="F40" s="63">
        <f>국산거래표_new!F40/'A표_총거래표(생산자)_new'!F$186</f>
        <v>2.6344015874767422E-4</v>
      </c>
      <c r="G40" s="63">
        <f>국산거래표_new!G40/'A표_총거래표(생산자)_new'!G$186</f>
        <v>1.3459327434237514E-3</v>
      </c>
      <c r="H40" s="63">
        <f>국산거래표_new!H40/'A표_총거래표(생산자)_new'!H$186</f>
        <v>7.8010696761856614E-4</v>
      </c>
      <c r="I40" s="168">
        <f>국산거래표_new!I40/'A표_총거래표(생산자)_new'!I$186</f>
        <v>2.1046131985444231E-3</v>
      </c>
      <c r="J40" s="168">
        <f>국산거래표_new!J40/'A표_총거래표(생산자)_new'!J$186</f>
        <v>1.5952925134482166E-3</v>
      </c>
      <c r="K40" s="63">
        <f>국산거래표_new!K40/'A표_총거래표(생산자)_new'!K$186</f>
        <v>4.5540286400730438E-4</v>
      </c>
      <c r="L40" s="63">
        <f>국산거래표_new!L40/'A표_총거래표(생산자)_new'!L$186</f>
        <v>2.2186137057267883E-4</v>
      </c>
      <c r="M40" s="63">
        <f>국산거래표_new!M40/'A표_총거래표(생산자)_new'!M$186</f>
        <v>9.6565773391565197E-4</v>
      </c>
      <c r="N40" s="63">
        <f>국산거래표_new!N40/'A표_총거래표(생산자)_new'!N$186</f>
        <v>1.9918281047186343E-4</v>
      </c>
      <c r="O40" s="63">
        <f>국산거래표_new!O40/'A표_총거래표(생산자)_new'!O$186</f>
        <v>3.1679819964523207E-4</v>
      </c>
      <c r="P40" s="63">
        <f>국산거래표_new!P40/'A표_총거래표(생산자)_new'!P$186</f>
        <v>4.9242149591489264E-4</v>
      </c>
      <c r="Q40" s="63">
        <f>국산거래표_new!Q40/'A표_총거래표(생산자)_new'!Q$186</f>
        <v>7.1063379110660759E-5</v>
      </c>
      <c r="R40" s="63">
        <f>국산거래표_new!R40/'A표_총거래표(생산자)_new'!R$186</f>
        <v>6.5465998329352498E-4</v>
      </c>
      <c r="S40" s="63">
        <f>국산거래표_new!S40/'A표_총거래표(생산자)_new'!S$186</f>
        <v>4.4787572196115172E-3</v>
      </c>
      <c r="T40" s="63">
        <f>국산거래표_new!T40/'A표_총거래표(생산자)_new'!T$186</f>
        <v>9.3912267238401145E-4</v>
      </c>
      <c r="U40" s="63">
        <f>국산거래표_new!U40/'A표_총거래표(생산자)_new'!U$186</f>
        <v>9.7964019252126016E-4</v>
      </c>
      <c r="V40" s="63">
        <f>국산거래표_new!V40/'A표_총거래표(생산자)_new'!V$186</f>
        <v>9.4276415276362739E-5</v>
      </c>
      <c r="W40" s="63">
        <f>국산거래표_new!W40/'A표_총거래표(생산자)_new'!W$186</f>
        <v>1.2412157893883031E-3</v>
      </c>
      <c r="X40" s="63">
        <f>국산거래표_new!X40/'A표_총거래표(생산자)_new'!X$186</f>
        <v>2.4960754178675126E-4</v>
      </c>
      <c r="Y40" s="63">
        <f>국산거래표_new!Y40/'A표_총거래표(생산자)_new'!Y$186</f>
        <v>1.1195257778232044E-3</v>
      </c>
      <c r="Z40" s="63">
        <f>국산거래표_new!Z40/'A표_총거래표(생산자)_new'!Z$186</f>
        <v>1.9621139382731832E-3</v>
      </c>
      <c r="AA40" s="63">
        <f>국산거래표_new!AA40/'A표_총거래표(생산자)_new'!AA$186</f>
        <v>2.5391093594691241E-4</v>
      </c>
      <c r="AB40" s="63">
        <f>국산거래표_new!AB40/'A표_총거래표(생산자)_new'!AB$186</f>
        <v>1.9762733225079962E-3</v>
      </c>
      <c r="AC40" s="63">
        <f>국산거래표_new!AC40/'A표_총거래표(생산자)_new'!AC$186</f>
        <v>6.7348643513370538E-4</v>
      </c>
      <c r="AD40" s="63">
        <f>국산거래표_new!AD40/'A표_총거래표(생산자)_new'!AD$186</f>
        <v>1.2461908990471936E-3</v>
      </c>
      <c r="AE40" s="63">
        <f>국산거래표_new!AE40/'A표_총거래표(생산자)_new'!AE$186</f>
        <v>2.2661426737103737E-4</v>
      </c>
      <c r="AF40" s="63">
        <f>국산거래표_new!AF40/'A표_총거래표(생산자)_new'!AF$186</f>
        <v>2.3774289527098586E-4</v>
      </c>
      <c r="AG40" s="63">
        <f>국산거래표_new!AG40/'A표_총거래표(생산자)_new'!AG$186</f>
        <v>1.7056762403444346E-3</v>
      </c>
      <c r="AH40" s="63">
        <f>국산거래표_new!AH40/'A표_총거래표(생산자)_new'!AH$186</f>
        <v>1.5711132531823228E-3</v>
      </c>
      <c r="AI40" s="63">
        <f>국산거래표_new!AI40/'A표_총거래표(생산자)_new'!AI$186</f>
        <v>6.6414122087940682E-4</v>
      </c>
      <c r="AJ40" s="63">
        <f>국산거래표_new!AJ40/'A표_총거래표(생산자)_new'!AJ$186</f>
        <v>2.1848584819119041E-2</v>
      </c>
      <c r="AK40" s="65">
        <f t="shared" si="0"/>
        <v>5.8025283334704976E-2</v>
      </c>
    </row>
    <row r="41" spans="1:37" ht="13.5" customHeight="1">
      <c r="A41" s="46" t="s">
        <v>91</v>
      </c>
      <c r="B41" s="16" t="s">
        <v>20</v>
      </c>
      <c r="C41" s="63">
        <f>SUM(C7:C40)</f>
        <v>0.49453723439178637</v>
      </c>
      <c r="D41" s="63">
        <f t="shared" ref="D41:AJ41" si="1">SUM(D7:D40)</f>
        <v>0.58805068226486834</v>
      </c>
      <c r="E41" s="63">
        <f t="shared" si="1"/>
        <v>0.62141722184241466</v>
      </c>
      <c r="F41" s="63">
        <f t="shared" si="1"/>
        <v>0.50421418735360113</v>
      </c>
      <c r="G41" s="63">
        <f t="shared" si="1"/>
        <v>0.59729348478361555</v>
      </c>
      <c r="H41" s="63">
        <f t="shared" si="1"/>
        <v>0.16555524446729106</v>
      </c>
      <c r="I41" s="168">
        <f t="shared" si="1"/>
        <v>0.49939778039122462</v>
      </c>
      <c r="J41" s="168">
        <f t="shared" si="1"/>
        <v>0.73864135247961071</v>
      </c>
      <c r="K41" s="63">
        <f t="shared" si="1"/>
        <v>0.65279044479916049</v>
      </c>
      <c r="L41" s="63">
        <f t="shared" si="1"/>
        <v>0.45685335948818773</v>
      </c>
      <c r="M41" s="63">
        <f t="shared" si="1"/>
        <v>0.60396546382173089</v>
      </c>
      <c r="N41" s="63">
        <f t="shared" si="1"/>
        <v>0.40282857163708702</v>
      </c>
      <c r="O41" s="63">
        <f t="shared" si="1"/>
        <v>0.54622220201874094</v>
      </c>
      <c r="P41" s="63">
        <f t="shared" si="1"/>
        <v>0.60676983699234321</v>
      </c>
      <c r="Q41" s="63">
        <f t="shared" si="1"/>
        <v>0.67696371707875413</v>
      </c>
      <c r="R41" s="63">
        <f t="shared" si="1"/>
        <v>0.62083108165839873</v>
      </c>
      <c r="S41" s="63">
        <f t="shared" si="1"/>
        <v>0.50302192199978724</v>
      </c>
      <c r="T41" s="63">
        <f t="shared" si="1"/>
        <v>0.31775534220998586</v>
      </c>
      <c r="U41" s="63">
        <f t="shared" si="1"/>
        <v>0.53176215614624467</v>
      </c>
      <c r="V41" s="63">
        <f t="shared" si="1"/>
        <v>0.54676724243536534</v>
      </c>
      <c r="W41" s="63">
        <f t="shared" si="1"/>
        <v>0.4332375377423141</v>
      </c>
      <c r="X41" s="63">
        <f t="shared" si="1"/>
        <v>0.37578662912471361</v>
      </c>
      <c r="Y41" s="63">
        <f t="shared" si="1"/>
        <v>0.61774602244708199</v>
      </c>
      <c r="Z41" s="63">
        <f t="shared" si="1"/>
        <v>0.38594263307193155</v>
      </c>
      <c r="AA41" s="63">
        <f t="shared" si="1"/>
        <v>0.33857596334170226</v>
      </c>
      <c r="AB41" s="63">
        <f t="shared" si="1"/>
        <v>0.29236276885203</v>
      </c>
      <c r="AC41" s="63">
        <f t="shared" si="1"/>
        <v>0.44213296737972624</v>
      </c>
      <c r="AD41" s="63">
        <f t="shared" si="1"/>
        <v>0.35859747890520527</v>
      </c>
      <c r="AE41" s="63">
        <f t="shared" si="1"/>
        <v>0.22635132234697633</v>
      </c>
      <c r="AF41" s="63">
        <f t="shared" si="1"/>
        <v>0.31543942844205469</v>
      </c>
      <c r="AG41" s="63">
        <f t="shared" si="1"/>
        <v>0.34996908048001918</v>
      </c>
      <c r="AH41" s="63">
        <f t="shared" si="1"/>
        <v>0.40863695600810246</v>
      </c>
      <c r="AI41" s="63">
        <f t="shared" si="1"/>
        <v>0.51336882307089915</v>
      </c>
      <c r="AJ41" s="63">
        <f t="shared" si="1"/>
        <v>0.99872409316490429</v>
      </c>
      <c r="AK41" s="65">
        <f t="shared" si="0"/>
        <v>16.732510232637857</v>
      </c>
    </row>
    <row r="42" spans="1:37" ht="13.5" customHeight="1">
      <c r="A42" s="1" t="s">
        <v>115</v>
      </c>
      <c r="B42" s="1" t="s">
        <v>119</v>
      </c>
      <c r="C42" s="63">
        <f>T_mat_GHG_new!C48/T_mat_GHG_new!C47</f>
        <v>0.35384181542521381</v>
      </c>
      <c r="D42" s="63">
        <f>T_mat_GHG_new!D48/T_mat_GHG_new!D47</f>
        <v>0.38352471568278745</v>
      </c>
      <c r="E42" s="63">
        <f>T_mat_GHG_new!E48/T_mat_GHG_new!E47</f>
        <v>1.1321859824569153E-2</v>
      </c>
      <c r="F42" s="63">
        <f>T_mat_GHG_new!F48/T_mat_GHG_new!F47</f>
        <v>6.4492026570184158E-2</v>
      </c>
      <c r="G42" s="63">
        <f>T_mat_GHG_new!G48/T_mat_GHG_new!G47</f>
        <v>5.0767936108755476E-2</v>
      </c>
      <c r="H42" s="63">
        <f>T_mat_GHG_new!H48/T_mat_GHG_new!H47</f>
        <v>0.20548833308023901</v>
      </c>
      <c r="I42" s="168">
        <f>T_mat_GHG_new!I48/T_mat_GHG_new!I47</f>
        <v>0.22485881441959099</v>
      </c>
      <c r="J42" s="168">
        <f>T_mat_GHG_new!J48/T_mat_GHG_new!J47</f>
        <v>0.22485881441941002</v>
      </c>
      <c r="K42" s="63">
        <f>T_mat_GHG_new!K48/T_mat_GHG_new!K47</f>
        <v>0.69169897066255903</v>
      </c>
      <c r="L42" s="63">
        <f>T_mat_GHG_new!L48/T_mat_GHG_new!L47</f>
        <v>0.53433113333010096</v>
      </c>
      <c r="M42" s="63">
        <f>T_mat_GHG_new!M48/T_mat_GHG_new!M47</f>
        <v>2.7019706383372586E-3</v>
      </c>
      <c r="N42" s="63">
        <f>T_mat_GHG_new!N48/T_mat_GHG_new!N47</f>
        <v>1.1973231660233199E-2</v>
      </c>
      <c r="O42" s="63">
        <f>T_mat_GHG_new!O48/T_mat_GHG_new!O47</f>
        <v>7.1737987228122574E-4</v>
      </c>
      <c r="P42" s="63">
        <f>T_mat_GHG_new!P48/T_mat_GHG_new!P47</f>
        <v>3.7345503739572385E-2</v>
      </c>
      <c r="Q42" s="63">
        <f>T_mat_GHG_new!Q48/T_mat_GHG_new!Q47</f>
        <v>7.0066451081647781E-3</v>
      </c>
      <c r="R42" s="63">
        <f>T_mat_GHG_new!R48/T_mat_GHG_new!R47</f>
        <v>0.12421198041207222</v>
      </c>
      <c r="S42" s="63">
        <f>T_mat_GHG_new!S48/T_mat_GHG_new!S47</f>
        <v>1.7030359356060433E-2</v>
      </c>
      <c r="T42" s="63">
        <f>T_mat_GHG_new!T48/T_mat_GHG_new!T47</f>
        <v>1.5119582883895131</v>
      </c>
      <c r="U42" s="63">
        <f>T_mat_GHG_new!U48/T_mat_GHG_new!U47</f>
        <v>0.43474703473909199</v>
      </c>
      <c r="V42" s="63">
        <f>T_mat_GHG_new!V48/T_mat_GHG_new!V47</f>
        <v>5.2975368487324093E-3</v>
      </c>
      <c r="W42" s="63">
        <f>T_mat_GHG_new!W48/T_mat_GHG_new!W47</f>
        <v>3.6145916759950263E-3</v>
      </c>
      <c r="X42" s="63">
        <f>T_mat_GHG_new!X48/T_mat_GHG_new!X47</f>
        <v>0.45729114547505445</v>
      </c>
      <c r="Y42" s="63">
        <f>T_mat_GHG_new!Y48/T_mat_GHG_new!Y47</f>
        <v>1.0070202995676234E-2</v>
      </c>
      <c r="Z42" s="63">
        <f>T_mat_GHG_new!Z48/T_mat_GHG_new!Z47</f>
        <v>4.6470390007868125E-4</v>
      </c>
      <c r="AA42" s="63">
        <f>T_mat_GHG_new!AA48/T_mat_GHG_new!AA47</f>
        <v>5.7176864941480964E-4</v>
      </c>
      <c r="AB42" s="63">
        <f>T_mat_GHG_new!AB48/T_mat_GHG_new!AB47</f>
        <v>8.6898251609538282E-4</v>
      </c>
      <c r="AC42" s="63">
        <f>T_mat_GHG_new!AC48/T_mat_GHG_new!AC47</f>
        <v>5.3212024948752056E-3</v>
      </c>
      <c r="AD42" s="63">
        <f>T_mat_GHG_new!AD48/T_mat_GHG_new!AD47</f>
        <v>1.0918470341367225E-3</v>
      </c>
      <c r="AE42" s="63">
        <f>T_mat_GHG_new!AE48/T_mat_GHG_new!AE47</f>
        <v>2.9699788181146682E-2</v>
      </c>
      <c r="AF42" s="63">
        <f>T_mat_GHG_new!AF48/T_mat_GHG_new!AF47</f>
        <v>1.4186484512484056E-2</v>
      </c>
      <c r="AG42" s="63">
        <f>T_mat_GHG_new!AG48/T_mat_GHG_new!AG47</f>
        <v>8.2280508558531928E-3</v>
      </c>
      <c r="AH42" s="63">
        <f>T_mat_GHG_new!AH48/T_mat_GHG_new!AH47</f>
        <v>5.7706053193781548E-3</v>
      </c>
      <c r="AI42" s="63">
        <f>T_mat_GHG_new!AI48/T_mat_GHG_new!AI47</f>
        <v>5.1724178452630084E-3</v>
      </c>
      <c r="AJ42" s="63">
        <f>T_mat_GHG_new!AJ48/T_mat_GHG_new!AJ47</f>
        <v>0</v>
      </c>
      <c r="AK42" s="65">
        <f t="shared" si="0"/>
        <v>5.4405261417429216</v>
      </c>
    </row>
    <row r="45" spans="1:37" ht="13.5" customHeight="1">
      <c r="A45" s="182" t="s">
        <v>25</v>
      </c>
      <c r="B45" s="183"/>
      <c r="C45" s="32" t="s">
        <v>44</v>
      </c>
      <c r="D45" s="32" t="s">
        <v>45</v>
      </c>
      <c r="E45" s="32" t="s">
        <v>46</v>
      </c>
      <c r="F45" s="33" t="s">
        <v>47</v>
      </c>
      <c r="G45" s="34" t="s">
        <v>48</v>
      </c>
      <c r="H45" s="34" t="s">
        <v>49</v>
      </c>
      <c r="I45" s="166" t="s">
        <v>50</v>
      </c>
      <c r="J45" s="166"/>
      <c r="K45" s="34" t="s">
        <v>51</v>
      </c>
      <c r="L45" s="34" t="s">
        <v>52</v>
      </c>
      <c r="M45" s="34" t="s">
        <v>53</v>
      </c>
      <c r="N45" s="34" t="s">
        <v>55</v>
      </c>
      <c r="O45" s="34" t="s">
        <v>57</v>
      </c>
      <c r="P45" s="34" t="s">
        <v>59</v>
      </c>
      <c r="Q45" s="34" t="s">
        <v>60</v>
      </c>
      <c r="R45" s="34" t="s">
        <v>61</v>
      </c>
      <c r="S45" s="34" t="s">
        <v>63</v>
      </c>
      <c r="T45" s="34" t="s">
        <v>65</v>
      </c>
      <c r="U45" s="34" t="s">
        <v>66</v>
      </c>
      <c r="V45" s="34" t="s">
        <v>68</v>
      </c>
      <c r="W45" s="34" t="s">
        <v>69</v>
      </c>
      <c r="X45" s="34" t="s">
        <v>71</v>
      </c>
      <c r="Y45" s="34" t="s">
        <v>72</v>
      </c>
      <c r="Z45" s="34" t="s">
        <v>73</v>
      </c>
      <c r="AA45" s="34" t="s">
        <v>74</v>
      </c>
      <c r="AB45" s="34" t="s">
        <v>75</v>
      </c>
      <c r="AC45" s="34" t="s">
        <v>77</v>
      </c>
      <c r="AD45" s="34" t="s">
        <v>78</v>
      </c>
      <c r="AE45" s="34" t="s">
        <v>79</v>
      </c>
      <c r="AF45" s="34" t="s">
        <v>81</v>
      </c>
      <c r="AG45" s="34" t="s">
        <v>82</v>
      </c>
      <c r="AH45" s="34" t="s">
        <v>84</v>
      </c>
      <c r="AI45" s="34" t="s">
        <v>86</v>
      </c>
      <c r="AJ45" s="34" t="s">
        <v>88</v>
      </c>
      <c r="AK45" s="35" t="s">
        <v>98</v>
      </c>
    </row>
    <row r="46" spans="1:37" ht="13.5" customHeight="1">
      <c r="A46" s="184"/>
      <c r="B46" s="185"/>
      <c r="C46" s="51" t="s">
        <v>2</v>
      </c>
      <c r="D46" s="51" t="s">
        <v>3</v>
      </c>
      <c r="E46" s="51" t="s">
        <v>4</v>
      </c>
      <c r="F46" s="51" t="s">
        <v>5</v>
      </c>
      <c r="G46" s="51" t="s">
        <v>6</v>
      </c>
      <c r="H46" s="51" t="s">
        <v>7</v>
      </c>
      <c r="I46" s="167" t="s">
        <v>8</v>
      </c>
      <c r="J46" s="167" t="s">
        <v>144</v>
      </c>
      <c r="K46" s="51" t="s">
        <v>9</v>
      </c>
      <c r="L46" s="51" t="s">
        <v>10</v>
      </c>
      <c r="M46" s="51" t="s">
        <v>54</v>
      </c>
      <c r="N46" s="51" t="s">
        <v>56</v>
      </c>
      <c r="O46" s="51" t="s">
        <v>58</v>
      </c>
      <c r="P46" s="51" t="s">
        <v>11</v>
      </c>
      <c r="Q46" s="51" t="s">
        <v>12</v>
      </c>
      <c r="R46" s="51" t="s">
        <v>62</v>
      </c>
      <c r="S46" s="51" t="s">
        <v>64</v>
      </c>
      <c r="T46" s="51" t="s">
        <v>13</v>
      </c>
      <c r="U46" s="51" t="s">
        <v>67</v>
      </c>
      <c r="V46" s="51" t="s">
        <v>14</v>
      </c>
      <c r="W46" s="51" t="s">
        <v>70</v>
      </c>
      <c r="X46" s="51" t="s">
        <v>42</v>
      </c>
      <c r="Y46" s="51" t="s">
        <v>15</v>
      </c>
      <c r="Z46" s="51" t="s">
        <v>16</v>
      </c>
      <c r="AA46" s="51" t="s">
        <v>17</v>
      </c>
      <c r="AB46" s="51" t="s">
        <v>76</v>
      </c>
      <c r="AC46" s="51" t="s">
        <v>43</v>
      </c>
      <c r="AD46" s="51" t="s">
        <v>18</v>
      </c>
      <c r="AE46" s="51" t="s">
        <v>80</v>
      </c>
      <c r="AF46" s="51" t="s">
        <v>19</v>
      </c>
      <c r="AG46" s="51" t="s">
        <v>83</v>
      </c>
      <c r="AH46" s="51" t="s">
        <v>85</v>
      </c>
      <c r="AI46" s="51" t="s">
        <v>87</v>
      </c>
      <c r="AJ46" s="51" t="s">
        <v>89</v>
      </c>
      <c r="AK46" s="23" t="s">
        <v>26</v>
      </c>
    </row>
    <row r="47" spans="1:37" ht="13.5" customHeight="1">
      <c r="A47" s="44" t="s">
        <v>44</v>
      </c>
      <c r="B47" s="15" t="s">
        <v>2</v>
      </c>
      <c r="C47" s="63">
        <v>1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v>0</v>
      </c>
      <c r="AI47" s="63">
        <v>0</v>
      </c>
      <c r="AJ47" s="63">
        <v>0</v>
      </c>
      <c r="AK47" s="65">
        <f>SUM(C47:AJ47)</f>
        <v>1</v>
      </c>
    </row>
    <row r="48" spans="1:37" ht="13.5" customHeight="1">
      <c r="A48" s="44" t="s">
        <v>45</v>
      </c>
      <c r="B48" s="15" t="s">
        <v>3</v>
      </c>
      <c r="C48" s="63">
        <v>0</v>
      </c>
      <c r="D48" s="63">
        <v>1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5">
        <f t="shared" ref="AK48:AK53" si="2">SUM(C48:AJ48)</f>
        <v>1</v>
      </c>
    </row>
    <row r="49" spans="1:37" ht="13.5" customHeight="1">
      <c r="A49" s="44" t="s">
        <v>46</v>
      </c>
      <c r="B49" s="15" t="s">
        <v>4</v>
      </c>
      <c r="C49" s="63">
        <v>0</v>
      </c>
      <c r="D49" s="63">
        <v>0</v>
      </c>
      <c r="E49" s="63">
        <v>1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  <c r="AI49" s="63">
        <v>0</v>
      </c>
      <c r="AJ49" s="63">
        <v>0</v>
      </c>
      <c r="AK49" s="65">
        <f t="shared" si="2"/>
        <v>1</v>
      </c>
    </row>
    <row r="50" spans="1:37" ht="13.5" customHeight="1">
      <c r="A50" s="44" t="s">
        <v>47</v>
      </c>
      <c r="B50" s="15" t="s">
        <v>5</v>
      </c>
      <c r="C50" s="63">
        <v>0</v>
      </c>
      <c r="D50" s="63">
        <v>0</v>
      </c>
      <c r="E50" s="63">
        <v>0</v>
      </c>
      <c r="F50" s="63">
        <v>1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3">
        <v>0</v>
      </c>
      <c r="AH50" s="63">
        <v>0</v>
      </c>
      <c r="AI50" s="63">
        <v>0</v>
      </c>
      <c r="AJ50" s="63">
        <v>0</v>
      </c>
      <c r="AK50" s="65">
        <f t="shared" si="2"/>
        <v>1</v>
      </c>
    </row>
    <row r="51" spans="1:37" ht="13.5" customHeight="1">
      <c r="A51" s="44" t="s">
        <v>48</v>
      </c>
      <c r="B51" s="15" t="s">
        <v>6</v>
      </c>
      <c r="C51" s="63">
        <v>0</v>
      </c>
      <c r="D51" s="63">
        <v>0</v>
      </c>
      <c r="E51" s="63">
        <v>0</v>
      </c>
      <c r="F51" s="63">
        <v>0</v>
      </c>
      <c r="G51" s="63">
        <v>1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5">
        <f t="shared" si="2"/>
        <v>1</v>
      </c>
    </row>
    <row r="52" spans="1:37" ht="13.5" customHeight="1">
      <c r="A52" s="44" t="s">
        <v>49</v>
      </c>
      <c r="B52" s="15" t="s">
        <v>7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1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5">
        <f t="shared" si="2"/>
        <v>1</v>
      </c>
    </row>
    <row r="53" spans="1:37" ht="13.5" customHeight="1">
      <c r="A53" s="169" t="s">
        <v>50</v>
      </c>
      <c r="B53" s="170" t="s">
        <v>8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1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  <c r="AI53" s="63">
        <v>0</v>
      </c>
      <c r="AJ53" s="63">
        <v>0</v>
      </c>
      <c r="AK53" s="171">
        <f t="shared" si="2"/>
        <v>1</v>
      </c>
    </row>
    <row r="54" spans="1:37" ht="13.5" customHeight="1">
      <c r="A54" s="169"/>
      <c r="B54" s="170" t="s">
        <v>144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1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  <c r="AI54" s="63">
        <v>0</v>
      </c>
      <c r="AJ54" s="63">
        <v>0</v>
      </c>
      <c r="AK54" s="171"/>
    </row>
    <row r="55" spans="1:37" ht="13.5" customHeight="1">
      <c r="A55" s="44" t="s">
        <v>51</v>
      </c>
      <c r="B55" s="15" t="s">
        <v>9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1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  <c r="AI55" s="63">
        <v>0</v>
      </c>
      <c r="AJ55" s="63">
        <v>0</v>
      </c>
      <c r="AK55" s="65">
        <f t="shared" ref="AK55:AK82" si="3">SUM(C55:AJ55)</f>
        <v>1</v>
      </c>
    </row>
    <row r="56" spans="1:37" ht="13.5" customHeight="1">
      <c r="A56" s="44" t="s">
        <v>52</v>
      </c>
      <c r="B56" s="15" t="s">
        <v>10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1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5">
        <f t="shared" si="3"/>
        <v>1</v>
      </c>
    </row>
    <row r="57" spans="1:37" ht="13.5" customHeight="1">
      <c r="A57" s="44" t="s">
        <v>53</v>
      </c>
      <c r="B57" s="15" t="s">
        <v>54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1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3">
        <v>0</v>
      </c>
      <c r="AJ57" s="63">
        <v>0</v>
      </c>
      <c r="AK57" s="65">
        <f t="shared" si="3"/>
        <v>1</v>
      </c>
    </row>
    <row r="58" spans="1:37" ht="13.5" customHeight="1">
      <c r="A58" s="44" t="s">
        <v>55</v>
      </c>
      <c r="B58" s="15" t="s">
        <v>56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1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5">
        <f t="shared" si="3"/>
        <v>1</v>
      </c>
    </row>
    <row r="59" spans="1:37" ht="13.5" customHeight="1">
      <c r="A59" s="44" t="s">
        <v>57</v>
      </c>
      <c r="B59" s="15" t="s">
        <v>58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5">
        <f t="shared" si="3"/>
        <v>1</v>
      </c>
    </row>
    <row r="60" spans="1:37" ht="13.5" customHeight="1">
      <c r="A60" s="44" t="s">
        <v>59</v>
      </c>
      <c r="B60" s="15" t="s">
        <v>11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1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0</v>
      </c>
      <c r="AK60" s="65">
        <f t="shared" si="3"/>
        <v>1</v>
      </c>
    </row>
    <row r="61" spans="1:37" ht="13.5" customHeight="1">
      <c r="A61" s="44" t="s">
        <v>60</v>
      </c>
      <c r="B61" s="15" t="s">
        <v>12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1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  <c r="AI61" s="63">
        <v>0</v>
      </c>
      <c r="AJ61" s="63">
        <v>0</v>
      </c>
      <c r="AK61" s="65">
        <f t="shared" si="3"/>
        <v>1</v>
      </c>
    </row>
    <row r="62" spans="1:37" ht="13.5" customHeight="1">
      <c r="A62" s="44" t="s">
        <v>61</v>
      </c>
      <c r="B62" s="15" t="s">
        <v>62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1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  <c r="AI62" s="63">
        <v>0</v>
      </c>
      <c r="AJ62" s="63">
        <v>0</v>
      </c>
      <c r="AK62" s="65">
        <f t="shared" si="3"/>
        <v>1</v>
      </c>
    </row>
    <row r="63" spans="1:37" ht="13.5" customHeight="1">
      <c r="A63" s="44" t="s">
        <v>63</v>
      </c>
      <c r="B63" s="15" t="s">
        <v>64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1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  <c r="AI63" s="63">
        <v>0</v>
      </c>
      <c r="AJ63" s="63">
        <v>0</v>
      </c>
      <c r="AK63" s="65">
        <f t="shared" si="3"/>
        <v>1</v>
      </c>
    </row>
    <row r="64" spans="1:37" ht="13.5" customHeight="1">
      <c r="A64" s="44" t="s">
        <v>65</v>
      </c>
      <c r="B64" s="15" t="s">
        <v>13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1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5">
        <f t="shared" si="3"/>
        <v>1</v>
      </c>
    </row>
    <row r="65" spans="1:37" ht="13.5" customHeight="1">
      <c r="A65" s="44" t="s">
        <v>66</v>
      </c>
      <c r="B65" s="15" t="s">
        <v>67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1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5">
        <f t="shared" si="3"/>
        <v>1</v>
      </c>
    </row>
    <row r="66" spans="1:37" ht="13.5" customHeight="1">
      <c r="A66" s="44" t="s">
        <v>68</v>
      </c>
      <c r="B66" s="15" t="s">
        <v>14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1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  <c r="AI66" s="63">
        <v>0</v>
      </c>
      <c r="AJ66" s="63">
        <v>0</v>
      </c>
      <c r="AK66" s="65">
        <f t="shared" si="3"/>
        <v>1</v>
      </c>
    </row>
    <row r="67" spans="1:37" ht="13.5" customHeight="1">
      <c r="A67" s="44" t="s">
        <v>69</v>
      </c>
      <c r="B67" s="15" t="s">
        <v>70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1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  <c r="AI67" s="63">
        <v>0</v>
      </c>
      <c r="AJ67" s="63">
        <v>0</v>
      </c>
      <c r="AK67" s="65">
        <f t="shared" si="3"/>
        <v>1</v>
      </c>
    </row>
    <row r="68" spans="1:37" ht="13.5" customHeight="1">
      <c r="A68" s="44" t="s">
        <v>71</v>
      </c>
      <c r="B68" s="15" t="s">
        <v>42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1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5">
        <f t="shared" si="3"/>
        <v>1</v>
      </c>
    </row>
    <row r="69" spans="1:37" ht="13.5" customHeight="1">
      <c r="A69" s="44" t="s">
        <v>72</v>
      </c>
      <c r="B69" s="15" t="s">
        <v>15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1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3">
        <v>0</v>
      </c>
      <c r="AK69" s="65">
        <f t="shared" si="3"/>
        <v>1</v>
      </c>
    </row>
    <row r="70" spans="1:37" ht="13.5" customHeight="1">
      <c r="A70" s="44" t="s">
        <v>73</v>
      </c>
      <c r="B70" s="15" t="s">
        <v>16</v>
      </c>
      <c r="C70" s="63">
        <v>0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1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5">
        <f t="shared" si="3"/>
        <v>1</v>
      </c>
    </row>
    <row r="71" spans="1:37" ht="13.5" customHeight="1">
      <c r="A71" s="44" t="s">
        <v>74</v>
      </c>
      <c r="B71" s="15" t="s">
        <v>17</v>
      </c>
      <c r="C71" s="6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1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5">
        <f t="shared" si="3"/>
        <v>1</v>
      </c>
    </row>
    <row r="72" spans="1:37" ht="13.5" customHeight="1">
      <c r="A72" s="44" t="s">
        <v>75</v>
      </c>
      <c r="B72" s="15" t="s">
        <v>76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1</v>
      </c>
      <c r="AC72" s="63">
        <v>0</v>
      </c>
      <c r="AD72" s="63">
        <v>0</v>
      </c>
      <c r="AE72" s="63">
        <v>0</v>
      </c>
      <c r="AF72" s="63">
        <v>0</v>
      </c>
      <c r="AG72" s="63">
        <v>0</v>
      </c>
      <c r="AH72" s="63">
        <v>0</v>
      </c>
      <c r="AI72" s="63">
        <v>0</v>
      </c>
      <c r="AJ72" s="63">
        <v>0</v>
      </c>
      <c r="AK72" s="65">
        <f t="shared" si="3"/>
        <v>1</v>
      </c>
    </row>
    <row r="73" spans="1:37" ht="13.5" customHeight="1">
      <c r="A73" s="44" t="s">
        <v>77</v>
      </c>
      <c r="B73" s="15" t="s">
        <v>43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3">
        <v>0</v>
      </c>
      <c r="W73" s="63">
        <v>0</v>
      </c>
      <c r="X73" s="63">
        <v>0</v>
      </c>
      <c r="Y73" s="63">
        <v>0</v>
      </c>
      <c r="Z73" s="63">
        <v>0</v>
      </c>
      <c r="AA73" s="63">
        <v>0</v>
      </c>
      <c r="AB73" s="63">
        <v>0</v>
      </c>
      <c r="AC73" s="63">
        <v>1</v>
      </c>
      <c r="AD73" s="63">
        <v>0</v>
      </c>
      <c r="AE73" s="63">
        <v>0</v>
      </c>
      <c r="AF73" s="63">
        <v>0</v>
      </c>
      <c r="AG73" s="63">
        <v>0</v>
      </c>
      <c r="AH73" s="63">
        <v>0</v>
      </c>
      <c r="AI73" s="63">
        <v>0</v>
      </c>
      <c r="AJ73" s="63">
        <v>0</v>
      </c>
      <c r="AK73" s="65">
        <f t="shared" si="3"/>
        <v>1</v>
      </c>
    </row>
    <row r="74" spans="1:37" ht="13.5" customHeight="1">
      <c r="A74" s="44" t="s">
        <v>78</v>
      </c>
      <c r="B74" s="15" t="s">
        <v>18</v>
      </c>
      <c r="C74" s="63">
        <v>0</v>
      </c>
      <c r="D74" s="63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3">
        <v>0</v>
      </c>
      <c r="Y74" s="63">
        <v>0</v>
      </c>
      <c r="Z74" s="63">
        <v>0</v>
      </c>
      <c r="AA74" s="63">
        <v>0</v>
      </c>
      <c r="AB74" s="63">
        <v>0</v>
      </c>
      <c r="AC74" s="63">
        <v>0</v>
      </c>
      <c r="AD74" s="63">
        <v>1</v>
      </c>
      <c r="AE74" s="63">
        <v>0</v>
      </c>
      <c r="AF74" s="63">
        <v>0</v>
      </c>
      <c r="AG74" s="63">
        <v>0</v>
      </c>
      <c r="AH74" s="63">
        <v>0</v>
      </c>
      <c r="AI74" s="63">
        <v>0</v>
      </c>
      <c r="AJ74" s="63">
        <v>0</v>
      </c>
      <c r="AK74" s="65">
        <f t="shared" si="3"/>
        <v>1</v>
      </c>
    </row>
    <row r="75" spans="1:37" ht="13.5" customHeight="1">
      <c r="A75" s="44" t="s">
        <v>79</v>
      </c>
      <c r="B75" s="15" t="s">
        <v>80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1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5">
        <f t="shared" si="3"/>
        <v>1</v>
      </c>
    </row>
    <row r="76" spans="1:37" ht="13.5" customHeight="1">
      <c r="A76" s="44" t="s">
        <v>81</v>
      </c>
      <c r="B76" s="15" t="s">
        <v>19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1</v>
      </c>
      <c r="AG76" s="63">
        <v>0</v>
      </c>
      <c r="AH76" s="63">
        <v>0</v>
      </c>
      <c r="AI76" s="63">
        <v>0</v>
      </c>
      <c r="AJ76" s="63">
        <v>0</v>
      </c>
      <c r="AK76" s="65">
        <f t="shared" si="3"/>
        <v>1</v>
      </c>
    </row>
    <row r="77" spans="1:37" ht="13.5" customHeight="1">
      <c r="A77" s="44" t="s">
        <v>82</v>
      </c>
      <c r="B77" s="15" t="s">
        <v>83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1</v>
      </c>
      <c r="AH77" s="63">
        <v>0</v>
      </c>
      <c r="AI77" s="63">
        <v>0</v>
      </c>
      <c r="AJ77" s="63">
        <v>0</v>
      </c>
      <c r="AK77" s="65">
        <f t="shared" si="3"/>
        <v>1</v>
      </c>
    </row>
    <row r="78" spans="1:37" ht="13.5" customHeight="1">
      <c r="A78" s="44" t="s">
        <v>84</v>
      </c>
      <c r="B78" s="15" t="s">
        <v>85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1</v>
      </c>
      <c r="AI78" s="63">
        <v>0</v>
      </c>
      <c r="AJ78" s="63">
        <v>0</v>
      </c>
      <c r="AK78" s="65">
        <f t="shared" si="3"/>
        <v>1</v>
      </c>
    </row>
    <row r="79" spans="1:37" ht="13.5" customHeight="1">
      <c r="A79" s="44" t="s">
        <v>86</v>
      </c>
      <c r="B79" s="15" t="s">
        <v>87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3">
        <v>0</v>
      </c>
      <c r="AH79" s="63">
        <v>0</v>
      </c>
      <c r="AI79" s="63">
        <v>1</v>
      </c>
      <c r="AJ79" s="63">
        <v>0</v>
      </c>
      <c r="AK79" s="65">
        <f t="shared" si="3"/>
        <v>1</v>
      </c>
    </row>
    <row r="80" spans="1:37" ht="13.5" customHeight="1">
      <c r="A80" s="44" t="s">
        <v>88</v>
      </c>
      <c r="B80" s="15" t="s">
        <v>89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3">
        <v>0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v>0</v>
      </c>
      <c r="AI80" s="63">
        <v>0</v>
      </c>
      <c r="AJ80" s="63">
        <v>1</v>
      </c>
      <c r="AK80" s="65">
        <f t="shared" si="3"/>
        <v>1</v>
      </c>
    </row>
    <row r="81" spans="1:37" ht="13.5" customHeight="1">
      <c r="A81" s="46" t="s">
        <v>91</v>
      </c>
      <c r="B81" s="16" t="s">
        <v>20</v>
      </c>
      <c r="C81" s="63">
        <v>0</v>
      </c>
      <c r="D81" s="63">
        <v>0</v>
      </c>
      <c r="E81" s="63">
        <v>0</v>
      </c>
      <c r="F81" s="63">
        <v>0</v>
      </c>
      <c r="G81" s="63">
        <v>0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0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v>0</v>
      </c>
      <c r="AI81" s="63">
        <v>0</v>
      </c>
      <c r="AJ81" s="63">
        <v>0</v>
      </c>
      <c r="AK81" s="65">
        <f t="shared" si="3"/>
        <v>0</v>
      </c>
    </row>
    <row r="82" spans="1:37" ht="13.5" customHeight="1">
      <c r="A82" s="1" t="s">
        <v>115</v>
      </c>
      <c r="B82" s="1" t="s">
        <v>119</v>
      </c>
      <c r="C82" s="63" t="e">
        <f>T_mat_GHG_new!C88/T_mat_GHG_new!C87</f>
        <v>#DIV/0!</v>
      </c>
      <c r="D82" s="63" t="e">
        <f>T_mat_GHG_new!D88/T_mat_GHG_new!D87</f>
        <v>#DIV/0!</v>
      </c>
      <c r="E82" s="63" t="e">
        <f>T_mat_GHG_new!E88/T_mat_GHG_new!E87</f>
        <v>#DIV/0!</v>
      </c>
      <c r="F82" s="63" t="e">
        <f>T_mat_GHG_new!F88/T_mat_GHG_new!F87</f>
        <v>#DIV/0!</v>
      </c>
      <c r="G82" s="63" t="e">
        <f>T_mat_GHG_new!G88/T_mat_GHG_new!G87</f>
        <v>#DIV/0!</v>
      </c>
      <c r="H82" s="63" t="e">
        <f>T_mat_GHG_new!H88/T_mat_GHG_new!H87</f>
        <v>#DIV/0!</v>
      </c>
      <c r="I82" s="168" t="e">
        <f>T_mat_GHG_new!I88/T_mat_GHG_new!I87</f>
        <v>#DIV/0!</v>
      </c>
      <c r="J82" s="168" t="e">
        <f>T_mat_GHG_new!J88/T_mat_GHG_new!J87</f>
        <v>#DIV/0!</v>
      </c>
      <c r="K82" s="63" t="e">
        <f>T_mat_GHG_new!K88/T_mat_GHG_new!K87</f>
        <v>#DIV/0!</v>
      </c>
      <c r="L82" s="63" t="e">
        <f>T_mat_GHG_new!L88/T_mat_GHG_new!L87</f>
        <v>#DIV/0!</v>
      </c>
      <c r="M82" s="63" t="e">
        <f>T_mat_GHG_new!M88/T_mat_GHG_new!M87</f>
        <v>#DIV/0!</v>
      </c>
      <c r="N82" s="63" t="e">
        <f>T_mat_GHG_new!N88/T_mat_GHG_new!N87</f>
        <v>#DIV/0!</v>
      </c>
      <c r="O82" s="63" t="e">
        <f>T_mat_GHG_new!O88/T_mat_GHG_new!O87</f>
        <v>#DIV/0!</v>
      </c>
      <c r="P82" s="63" t="e">
        <f>T_mat_GHG_new!P88/T_mat_GHG_new!P87</f>
        <v>#DIV/0!</v>
      </c>
      <c r="Q82" s="63" t="e">
        <f>T_mat_GHG_new!Q88/T_mat_GHG_new!Q87</f>
        <v>#DIV/0!</v>
      </c>
      <c r="R82" s="63" t="e">
        <f>T_mat_GHG_new!R88/T_mat_GHG_new!R87</f>
        <v>#DIV/0!</v>
      </c>
      <c r="S82" s="63" t="e">
        <f>T_mat_GHG_new!S88/T_mat_GHG_new!S87</f>
        <v>#DIV/0!</v>
      </c>
      <c r="T82" s="63" t="e">
        <f>T_mat_GHG_new!T88/T_mat_GHG_new!T87</f>
        <v>#DIV/0!</v>
      </c>
      <c r="U82" s="63" t="e">
        <f>T_mat_GHG_new!U88/T_mat_GHG_new!U87</f>
        <v>#DIV/0!</v>
      </c>
      <c r="V82" s="63" t="e">
        <f>T_mat_GHG_new!V88/T_mat_GHG_new!V87</f>
        <v>#DIV/0!</v>
      </c>
      <c r="W82" s="63" t="e">
        <f>T_mat_GHG_new!W88/T_mat_GHG_new!W87</f>
        <v>#DIV/0!</v>
      </c>
      <c r="X82" s="63" t="e">
        <f>T_mat_GHG_new!X88/T_mat_GHG_new!X87</f>
        <v>#DIV/0!</v>
      </c>
      <c r="Y82" s="63" t="e">
        <f>T_mat_GHG_new!Y88/T_mat_GHG_new!Y87</f>
        <v>#DIV/0!</v>
      </c>
      <c r="Z82" s="63" t="e">
        <f>T_mat_GHG_new!Z88/T_mat_GHG_new!Z87</f>
        <v>#DIV/0!</v>
      </c>
      <c r="AA82" s="63" t="e">
        <f>T_mat_GHG_new!AA88/T_mat_GHG_new!AA87</f>
        <v>#DIV/0!</v>
      </c>
      <c r="AB82" s="63" t="e">
        <f>T_mat_GHG_new!AB88/T_mat_GHG_new!AB87</f>
        <v>#DIV/0!</v>
      </c>
      <c r="AC82" s="63" t="e">
        <f>T_mat_GHG_new!AC88/T_mat_GHG_new!AC87</f>
        <v>#DIV/0!</v>
      </c>
      <c r="AD82" s="63" t="e">
        <f>T_mat_GHG_new!AD88/T_mat_GHG_new!AD87</f>
        <v>#DIV/0!</v>
      </c>
      <c r="AE82" s="63" t="e">
        <f>T_mat_GHG_new!AE88/T_mat_GHG_new!AE87</f>
        <v>#DIV/0!</v>
      </c>
      <c r="AF82" s="63" t="e">
        <f>T_mat_GHG_new!AF88/T_mat_GHG_new!AF87</f>
        <v>#DIV/0!</v>
      </c>
      <c r="AG82" s="63" t="e">
        <f>T_mat_GHG_new!AG88/T_mat_GHG_new!AG87</f>
        <v>#DIV/0!</v>
      </c>
      <c r="AH82" s="63" t="e">
        <f>T_mat_GHG_new!AH88/T_mat_GHG_new!AH87</f>
        <v>#DIV/0!</v>
      </c>
      <c r="AI82" s="63" t="e">
        <f>T_mat_GHG_new!AI88/T_mat_GHG_new!AI87</f>
        <v>#DIV/0!</v>
      </c>
      <c r="AJ82" s="63" t="e">
        <f>T_mat_GHG_new!AJ88/T_mat_GHG_new!AJ87</f>
        <v>#DIV/0!</v>
      </c>
      <c r="AK82" s="65" t="e">
        <f t="shared" si="3"/>
        <v>#DIV/0!</v>
      </c>
    </row>
    <row r="85" spans="1:37" ht="13.5" customHeight="1">
      <c r="A85" s="182" t="s">
        <v>25</v>
      </c>
      <c r="B85" s="183"/>
      <c r="C85" s="32" t="s">
        <v>44</v>
      </c>
      <c r="D85" s="32" t="s">
        <v>45</v>
      </c>
      <c r="E85" s="32" t="s">
        <v>46</v>
      </c>
      <c r="F85" s="33" t="s">
        <v>47</v>
      </c>
      <c r="G85" s="34" t="s">
        <v>48</v>
      </c>
      <c r="H85" s="34" t="s">
        <v>49</v>
      </c>
      <c r="I85" s="166" t="s">
        <v>50</v>
      </c>
      <c r="J85" s="166"/>
      <c r="K85" s="34" t="s">
        <v>51</v>
      </c>
      <c r="L85" s="34" t="s">
        <v>52</v>
      </c>
      <c r="M85" s="34" t="s">
        <v>53</v>
      </c>
      <c r="N85" s="34" t="s">
        <v>55</v>
      </c>
      <c r="O85" s="34" t="s">
        <v>57</v>
      </c>
      <c r="P85" s="34" t="s">
        <v>59</v>
      </c>
      <c r="Q85" s="34" t="s">
        <v>60</v>
      </c>
      <c r="R85" s="34" t="s">
        <v>61</v>
      </c>
      <c r="S85" s="34" t="s">
        <v>63</v>
      </c>
      <c r="T85" s="34" t="s">
        <v>65</v>
      </c>
      <c r="U85" s="34" t="s">
        <v>66</v>
      </c>
      <c r="V85" s="34" t="s">
        <v>68</v>
      </c>
      <c r="W85" s="34" t="s">
        <v>69</v>
      </c>
      <c r="X85" s="34" t="s">
        <v>71</v>
      </c>
      <c r="Y85" s="34" t="s">
        <v>72</v>
      </c>
      <c r="Z85" s="34" t="s">
        <v>73</v>
      </c>
      <c r="AA85" s="34" t="s">
        <v>74</v>
      </c>
      <c r="AB85" s="34" t="s">
        <v>75</v>
      </c>
      <c r="AC85" s="34" t="s">
        <v>77</v>
      </c>
      <c r="AD85" s="34" t="s">
        <v>78</v>
      </c>
      <c r="AE85" s="34" t="s">
        <v>79</v>
      </c>
      <c r="AF85" s="34" t="s">
        <v>81</v>
      </c>
      <c r="AG85" s="34" t="s">
        <v>82</v>
      </c>
      <c r="AH85" s="34" t="s">
        <v>84</v>
      </c>
      <c r="AI85" s="34" t="s">
        <v>86</v>
      </c>
      <c r="AJ85" s="34" t="s">
        <v>88</v>
      </c>
      <c r="AK85" s="35" t="s">
        <v>98</v>
      </c>
    </row>
    <row r="86" spans="1:37" ht="13.5" customHeight="1">
      <c r="A86" s="184"/>
      <c r="B86" s="185"/>
      <c r="C86" s="51" t="s">
        <v>2</v>
      </c>
      <c r="D86" s="51" t="s">
        <v>3</v>
      </c>
      <c r="E86" s="51" t="s">
        <v>4</v>
      </c>
      <c r="F86" s="51" t="s">
        <v>5</v>
      </c>
      <c r="G86" s="51" t="s">
        <v>6</v>
      </c>
      <c r="H86" s="51" t="s">
        <v>7</v>
      </c>
      <c r="I86" s="167" t="s">
        <v>8</v>
      </c>
      <c r="J86" s="167" t="s">
        <v>144</v>
      </c>
      <c r="K86" s="51" t="s">
        <v>9</v>
      </c>
      <c r="L86" s="51" t="s">
        <v>10</v>
      </c>
      <c r="M86" s="51" t="s">
        <v>54</v>
      </c>
      <c r="N86" s="51" t="s">
        <v>56</v>
      </c>
      <c r="O86" s="51" t="s">
        <v>58</v>
      </c>
      <c r="P86" s="51" t="s">
        <v>11</v>
      </c>
      <c r="Q86" s="51" t="s">
        <v>12</v>
      </c>
      <c r="R86" s="51" t="s">
        <v>62</v>
      </c>
      <c r="S86" s="51" t="s">
        <v>64</v>
      </c>
      <c r="T86" s="51" t="s">
        <v>13</v>
      </c>
      <c r="U86" s="51" t="s">
        <v>67</v>
      </c>
      <c r="V86" s="51" t="s">
        <v>14</v>
      </c>
      <c r="W86" s="51" t="s">
        <v>70</v>
      </c>
      <c r="X86" s="51" t="s">
        <v>42</v>
      </c>
      <c r="Y86" s="51" t="s">
        <v>15</v>
      </c>
      <c r="Z86" s="51" t="s">
        <v>16</v>
      </c>
      <c r="AA86" s="51" t="s">
        <v>17</v>
      </c>
      <c r="AB86" s="51" t="s">
        <v>76</v>
      </c>
      <c r="AC86" s="51" t="s">
        <v>43</v>
      </c>
      <c r="AD86" s="51" t="s">
        <v>18</v>
      </c>
      <c r="AE86" s="51" t="s">
        <v>80</v>
      </c>
      <c r="AF86" s="51" t="s">
        <v>19</v>
      </c>
      <c r="AG86" s="51" t="s">
        <v>83</v>
      </c>
      <c r="AH86" s="51" t="s">
        <v>85</v>
      </c>
      <c r="AI86" s="51" t="s">
        <v>87</v>
      </c>
      <c r="AJ86" s="51" t="s">
        <v>89</v>
      </c>
      <c r="AK86" s="23" t="s">
        <v>26</v>
      </c>
    </row>
    <row r="87" spans="1:37" ht="13.5" customHeight="1">
      <c r="A87" s="44" t="s">
        <v>44</v>
      </c>
      <c r="B87" s="15" t="s">
        <v>2</v>
      </c>
      <c r="C87" s="63">
        <f>C47-C7</f>
        <v>0.949094055631449</v>
      </c>
      <c r="D87" s="63">
        <f t="shared" ref="D87:AJ87" si="4">D47-D7</f>
        <v>-6.5126008218755805E-4</v>
      </c>
      <c r="E87" s="63">
        <f t="shared" si="4"/>
        <v>-0.18924699914243787</v>
      </c>
      <c r="F87" s="63">
        <f t="shared" si="4"/>
        <v>-5.5126738191223267E-4</v>
      </c>
      <c r="G87" s="63">
        <f t="shared" si="4"/>
        <v>-4.9573070890730339E-3</v>
      </c>
      <c r="H87" s="63">
        <f t="shared" si="4"/>
        <v>-2.3804538942781466E-5</v>
      </c>
      <c r="I87" s="63">
        <f t="shared" si="4"/>
        <v>-1.4753726118248694E-3</v>
      </c>
      <c r="J87" s="63">
        <f t="shared" si="4"/>
        <v>-4.684401976803842E-4</v>
      </c>
      <c r="K87" s="63">
        <f t="shared" si="4"/>
        <v>-7.1103207781673567E-5</v>
      </c>
      <c r="L87" s="63">
        <f t="shared" si="4"/>
        <v>-3.3668733183090497E-5</v>
      </c>
      <c r="M87" s="63">
        <f t="shared" si="4"/>
        <v>-5.4167750987701216E-5</v>
      </c>
      <c r="N87" s="63">
        <f t="shared" si="4"/>
        <v>-2.2944749112926546E-5</v>
      </c>
      <c r="O87" s="63">
        <f t="shared" si="4"/>
        <v>-1.2051853743264385E-5</v>
      </c>
      <c r="P87" s="63">
        <f t="shared" si="4"/>
        <v>-3.7561318232012094E-5</v>
      </c>
      <c r="Q87" s="63">
        <f t="shared" si="4"/>
        <v>-6.8310778066554695E-6</v>
      </c>
      <c r="R87" s="63">
        <f t="shared" si="4"/>
        <v>-4.3661274059955012E-4</v>
      </c>
      <c r="S87" s="63">
        <f t="shared" si="4"/>
        <v>-5.5382465086056838E-3</v>
      </c>
      <c r="T87" s="63">
        <f t="shared" si="4"/>
        <v>-2.4729889740688877E-5</v>
      </c>
      <c r="U87" s="63">
        <f t="shared" si="4"/>
        <v>-3.0476791082661747E-4</v>
      </c>
      <c r="V87" s="63">
        <f t="shared" si="4"/>
        <v>-1.0625783293762806E-3</v>
      </c>
      <c r="W87" s="63">
        <f t="shared" si="4"/>
        <v>-2.5543731045107892E-4</v>
      </c>
      <c r="X87" s="63">
        <f t="shared" si="4"/>
        <v>-5.9218334886111912E-5</v>
      </c>
      <c r="Y87" s="63">
        <f t="shared" si="4"/>
        <v>-5.6465410426665551E-2</v>
      </c>
      <c r="Z87" s="63">
        <f t="shared" si="4"/>
        <v>-6.6064195589377115E-5</v>
      </c>
      <c r="AA87" s="63">
        <f t="shared" si="4"/>
        <v>-5.1237710483804538E-5</v>
      </c>
      <c r="AB87" s="63">
        <f t="shared" si="4"/>
        <v>-2.6073255797693051E-5</v>
      </c>
      <c r="AC87" s="63">
        <f t="shared" si="4"/>
        <v>-1.9356732682709158E-4</v>
      </c>
      <c r="AD87" s="63">
        <f t="shared" si="4"/>
        <v>-1.4235925372152618E-4</v>
      </c>
      <c r="AE87" s="63">
        <f t="shared" si="4"/>
        <v>-1.5545505719270264E-3</v>
      </c>
      <c r="AF87" s="63">
        <f t="shared" si="4"/>
        <v>-4.6208282667536058E-3</v>
      </c>
      <c r="AG87" s="63">
        <f t="shared" si="4"/>
        <v>-3.6528295945516668E-3</v>
      </c>
      <c r="AH87" s="63">
        <f t="shared" si="4"/>
        <v>-1.0908705525676655E-3</v>
      </c>
      <c r="AI87" s="63">
        <f t="shared" si="4"/>
        <v>-8.8981492244220492E-4</v>
      </c>
      <c r="AJ87" s="63">
        <f t="shared" si="4"/>
        <v>-6.782923924279063E-4</v>
      </c>
      <c r="AK87" s="65">
        <f>SUM(C87:AJ87)</f>
        <v>0.67436778640230211</v>
      </c>
    </row>
    <row r="88" spans="1:37" ht="13.5" customHeight="1">
      <c r="A88" s="44" t="s">
        <v>45</v>
      </c>
      <c r="B88" s="15" t="s">
        <v>3</v>
      </c>
      <c r="C88" s="63">
        <f t="shared" ref="C88:AJ88" si="5">C48-C8</f>
        <v>-2.7744749225202564E-5</v>
      </c>
      <c r="D88" s="63">
        <f t="shared" si="5"/>
        <v>0.99943697636596118</v>
      </c>
      <c r="E88" s="63">
        <f t="shared" si="5"/>
        <v>-2.290030570748548E-4</v>
      </c>
      <c r="F88" s="63">
        <f t="shared" si="5"/>
        <v>-3.6302661057746377E-5</v>
      </c>
      <c r="G88" s="63">
        <f t="shared" si="5"/>
        <v>-2.1137313882291513E-4</v>
      </c>
      <c r="H88" s="63">
        <f t="shared" si="5"/>
        <v>-6.3555796859461459E-4</v>
      </c>
      <c r="I88" s="63">
        <f t="shared" si="5"/>
        <v>-9.9091337984313996E-4</v>
      </c>
      <c r="J88" s="63">
        <f t="shared" si="5"/>
        <v>-3.2297430564129908E-5</v>
      </c>
      <c r="K88" s="63">
        <f t="shared" si="5"/>
        <v>-7.770333254871907E-2</v>
      </c>
      <c r="L88" s="63">
        <f t="shared" si="5"/>
        <v>-1.1947736370973932E-3</v>
      </c>
      <c r="M88" s="63">
        <f t="shared" si="5"/>
        <v>-2.5930527199760585E-4</v>
      </c>
      <c r="N88" s="63">
        <f t="shared" si="5"/>
        <v>-1.0884216024418916E-4</v>
      </c>
      <c r="O88" s="63">
        <f t="shared" si="5"/>
        <v>-3.5924017449903349E-5</v>
      </c>
      <c r="P88" s="63">
        <f t="shared" si="5"/>
        <v>-7.1445757027504558E-5</v>
      </c>
      <c r="Q88" s="63">
        <f t="shared" si="5"/>
        <v>-6.5641229640158728E-6</v>
      </c>
      <c r="R88" s="63">
        <f t="shared" si="5"/>
        <v>-8.8587090836214809E-5</v>
      </c>
      <c r="S88" s="63">
        <f t="shared" si="5"/>
        <v>-1.8838395368705083E-4</v>
      </c>
      <c r="T88" s="63">
        <f t="shared" si="5"/>
        <v>-8.3965590445072083E-4</v>
      </c>
      <c r="U88" s="63">
        <f t="shared" si="5"/>
        <v>-1.2820157027604953E-3</v>
      </c>
      <c r="V88" s="63">
        <f t="shared" si="5"/>
        <v>-7.280044364643128E-4</v>
      </c>
      <c r="W88" s="63">
        <f t="shared" si="5"/>
        <v>0</v>
      </c>
      <c r="X88" s="63">
        <f t="shared" si="5"/>
        <v>0</v>
      </c>
      <c r="Y88" s="63">
        <f t="shared" si="5"/>
        <v>-5.7947810623998291E-5</v>
      </c>
      <c r="Z88" s="63">
        <f t="shared" si="5"/>
        <v>0</v>
      </c>
      <c r="AA88" s="63">
        <f t="shared" si="5"/>
        <v>0</v>
      </c>
      <c r="AB88" s="63">
        <f t="shared" si="5"/>
        <v>-5.1874263686675884E-7</v>
      </c>
      <c r="AC88" s="63">
        <f t="shared" si="5"/>
        <v>-1.6899292698111102E-5</v>
      </c>
      <c r="AD88" s="63">
        <f t="shared" si="5"/>
        <v>-9.2952055559801023E-5</v>
      </c>
      <c r="AE88" s="63">
        <f t="shared" si="5"/>
        <v>-8.269332444043562E-5</v>
      </c>
      <c r="AF88" s="63">
        <f t="shared" si="5"/>
        <v>-6.9522286710208434E-6</v>
      </c>
      <c r="AG88" s="63">
        <f t="shared" si="5"/>
        <v>-7.6303482577734247E-5</v>
      </c>
      <c r="AH88" s="63">
        <f t="shared" si="5"/>
        <v>-3.7403042465482439E-5</v>
      </c>
      <c r="AI88" s="63">
        <f t="shared" si="5"/>
        <v>-2.9669075834023028E-5</v>
      </c>
      <c r="AJ88" s="63">
        <f t="shared" si="5"/>
        <v>-6.7729636835679338E-6</v>
      </c>
      <c r="AK88" s="65">
        <f t="shared" ref="AK88:AK93" si="6">SUM(C88:AJ88)</f>
        <v>0.91435883735788925</v>
      </c>
    </row>
    <row r="89" spans="1:37" ht="13.5" customHeight="1">
      <c r="A89" s="44" t="s">
        <v>46</v>
      </c>
      <c r="B89" s="15" t="s">
        <v>4</v>
      </c>
      <c r="C89" s="63">
        <f t="shared" ref="C89:AJ89" si="7">C49-C9</f>
        <v>-0.1792115979154256</v>
      </c>
      <c r="D89" s="63">
        <f t="shared" si="7"/>
        <v>-3.0390885587927904E-3</v>
      </c>
      <c r="E89" s="63">
        <f t="shared" si="7"/>
        <v>0.87315966459487138</v>
      </c>
      <c r="F89" s="63">
        <f t="shared" si="7"/>
        <v>-1.2324375721795107E-3</v>
      </c>
      <c r="G89" s="63">
        <f t="shared" si="7"/>
        <v>-1.2097541705402043E-3</v>
      </c>
      <c r="H89" s="63">
        <f t="shared" si="7"/>
        <v>5.6217904721876952E-5</v>
      </c>
      <c r="I89" s="63">
        <f t="shared" si="7"/>
        <v>-3.5809846424838866E-3</v>
      </c>
      <c r="J89" s="63">
        <f t="shared" si="7"/>
        <v>-1.8783698007328359E-3</v>
      </c>
      <c r="K89" s="63">
        <f t="shared" si="7"/>
        <v>-6.3654487674827517E-4</v>
      </c>
      <c r="L89" s="63">
        <f t="shared" si="7"/>
        <v>-4.07662126128025E-4</v>
      </c>
      <c r="M89" s="63">
        <f t="shared" si="7"/>
        <v>-7.7795250009886363E-4</v>
      </c>
      <c r="N89" s="63">
        <f t="shared" si="7"/>
        <v>-8.8508322211842291E-5</v>
      </c>
      <c r="O89" s="63">
        <f t="shared" si="7"/>
        <v>-1.3731703866364924E-4</v>
      </c>
      <c r="P89" s="63">
        <f t="shared" si="7"/>
        <v>-4.358342135604791E-4</v>
      </c>
      <c r="Q89" s="63">
        <f t="shared" si="7"/>
        <v>4.4919601521489548E-5</v>
      </c>
      <c r="R89" s="63">
        <f t="shared" si="7"/>
        <v>-3.7390385999591132E-4</v>
      </c>
      <c r="S89" s="63">
        <f t="shared" si="7"/>
        <v>-6.5254647875102141E-3</v>
      </c>
      <c r="T89" s="63">
        <f t="shared" si="7"/>
        <v>-7.3793766828324061E-3</v>
      </c>
      <c r="U89" s="63">
        <f t="shared" si="7"/>
        <v>-1.8085113000256945E-3</v>
      </c>
      <c r="V89" s="63">
        <f t="shared" si="7"/>
        <v>-8.7304664870368589E-5</v>
      </c>
      <c r="W89" s="63">
        <f t="shared" si="7"/>
        <v>-5.3261168581381314E-3</v>
      </c>
      <c r="X89" s="63">
        <f t="shared" si="7"/>
        <v>-1.0539778693668938E-3</v>
      </c>
      <c r="Y89" s="63">
        <f t="shared" si="7"/>
        <v>-0.23709591425072046</v>
      </c>
      <c r="Z89" s="63">
        <f t="shared" si="7"/>
        <v>-1.4626380199207415E-3</v>
      </c>
      <c r="AA89" s="63">
        <f t="shared" si="7"/>
        <v>-7.1971381497883916E-4</v>
      </c>
      <c r="AB89" s="63">
        <f t="shared" si="7"/>
        <v>-7.5850474782141608E-5</v>
      </c>
      <c r="AC89" s="63">
        <f t="shared" si="7"/>
        <v>-4.4515621457642852E-3</v>
      </c>
      <c r="AD89" s="63">
        <f t="shared" si="7"/>
        <v>-4.9536017209947667E-3</v>
      </c>
      <c r="AE89" s="63">
        <f t="shared" si="7"/>
        <v>-5.8002233252946699E-3</v>
      </c>
      <c r="AF89" s="63">
        <f t="shared" si="7"/>
        <v>-2.067284394753453E-2</v>
      </c>
      <c r="AG89" s="63">
        <f t="shared" si="7"/>
        <v>-1.2230391452608179E-2</v>
      </c>
      <c r="AH89" s="63">
        <f t="shared" si="7"/>
        <v>-4.0399366194626363E-2</v>
      </c>
      <c r="AI89" s="63">
        <f t="shared" si="7"/>
        <v>-1.3473436894053397E-2</v>
      </c>
      <c r="AJ89" s="63">
        <f t="shared" si="7"/>
        <v>-1.0909850060528383E-2</v>
      </c>
      <c r="AK89" s="65">
        <f t="shared" si="6"/>
        <v>0.30582470203900242</v>
      </c>
    </row>
    <row r="90" spans="1:37" ht="13.5" customHeight="1">
      <c r="A90" s="44" t="s">
        <v>47</v>
      </c>
      <c r="B90" s="15" t="s">
        <v>5</v>
      </c>
      <c r="C90" s="63">
        <f t="shared" ref="C90:AJ90" si="8">C50-C10</f>
        <v>-6.9709121213893128E-3</v>
      </c>
      <c r="D90" s="63">
        <f t="shared" si="8"/>
        <v>-3.5221361781264848E-3</v>
      </c>
      <c r="E90" s="63">
        <f t="shared" si="8"/>
        <v>-7.1875347203290087E-4</v>
      </c>
      <c r="F90" s="63">
        <f t="shared" si="8"/>
        <v>0.86534626082448574</v>
      </c>
      <c r="G90" s="63">
        <f t="shared" si="8"/>
        <v>-8.3810520690948791E-3</v>
      </c>
      <c r="H90" s="63">
        <f t="shared" si="8"/>
        <v>-5.6615496592869882E-4</v>
      </c>
      <c r="I90" s="63">
        <f t="shared" si="8"/>
        <v>-2.8415267273067656E-3</v>
      </c>
      <c r="J90" s="63">
        <f t="shared" si="8"/>
        <v>-1.3768752169202186E-3</v>
      </c>
      <c r="K90" s="63">
        <f t="shared" si="8"/>
        <v>-2.9545802781973012E-3</v>
      </c>
      <c r="L90" s="63">
        <f t="shared" si="8"/>
        <v>-9.3148945889859043E-4</v>
      </c>
      <c r="M90" s="63">
        <f t="shared" si="8"/>
        <v>-2.7872657142054284E-3</v>
      </c>
      <c r="N90" s="63">
        <f t="shared" si="8"/>
        <v>-8.299226444267989E-4</v>
      </c>
      <c r="O90" s="63">
        <f t="shared" si="8"/>
        <v>-6.7144223011345288E-4</v>
      </c>
      <c r="P90" s="63">
        <f t="shared" si="8"/>
        <v>-6.4592851673017616E-4</v>
      </c>
      <c r="Q90" s="63">
        <f t="shared" si="8"/>
        <v>-2.8891662431057316E-3</v>
      </c>
      <c r="R90" s="63">
        <f t="shared" si="8"/>
        <v>-4.8776902152966893E-2</v>
      </c>
      <c r="S90" s="63">
        <f t="shared" si="8"/>
        <v>-2.5484735383353496E-2</v>
      </c>
      <c r="T90" s="63">
        <f t="shared" si="8"/>
        <v>-2.9091738594978338E-4</v>
      </c>
      <c r="U90" s="63">
        <f t="shared" si="8"/>
        <v>-5.5610394693464101E-3</v>
      </c>
      <c r="V90" s="63">
        <f t="shared" si="8"/>
        <v>-2.2964408200263993E-4</v>
      </c>
      <c r="W90" s="63">
        <f t="shared" si="8"/>
        <v>-3.1659164274937973E-3</v>
      </c>
      <c r="X90" s="63">
        <f t="shared" si="8"/>
        <v>-8.1102131507006132E-3</v>
      </c>
      <c r="Y90" s="63">
        <f t="shared" si="8"/>
        <v>-6.9224101476400264E-3</v>
      </c>
      <c r="Z90" s="63">
        <f t="shared" si="8"/>
        <v>-1.1335309520994407E-3</v>
      </c>
      <c r="AA90" s="63">
        <f t="shared" si="8"/>
        <v>-4.3592540059549887E-4</v>
      </c>
      <c r="AB90" s="63">
        <f t="shared" si="8"/>
        <v>-6.3917186718730125E-4</v>
      </c>
      <c r="AC90" s="63">
        <f t="shared" si="8"/>
        <v>-1.349404726561516E-3</v>
      </c>
      <c r="AD90" s="63">
        <f t="shared" si="8"/>
        <v>-7.7589188723827729E-3</v>
      </c>
      <c r="AE90" s="63">
        <f t="shared" si="8"/>
        <v>-3.1892717047846933E-3</v>
      </c>
      <c r="AF90" s="63">
        <f t="shared" si="8"/>
        <v>-1.3683903880754129E-3</v>
      </c>
      <c r="AG90" s="63">
        <f t="shared" si="8"/>
        <v>-3.8262486745281521E-3</v>
      </c>
      <c r="AH90" s="63">
        <f t="shared" si="8"/>
        <v>-8.3304767146045386E-3</v>
      </c>
      <c r="AI90" s="63">
        <f t="shared" si="8"/>
        <v>-1.0247068891998497E-2</v>
      </c>
      <c r="AJ90" s="63">
        <f t="shared" si="8"/>
        <v>-3.4755263937414627E-3</v>
      </c>
      <c r="AK90" s="65">
        <f t="shared" si="6"/>
        <v>0.68896334220199607</v>
      </c>
    </row>
    <row r="91" spans="1:37" ht="13.5" customHeight="1">
      <c r="A91" s="44" t="s">
        <v>48</v>
      </c>
      <c r="B91" s="15" t="s">
        <v>6</v>
      </c>
      <c r="C91" s="63">
        <f t="shared" ref="C91:AJ91" si="9">C51-C11</f>
        <v>-1.1585815744703699E-2</v>
      </c>
      <c r="D91" s="63">
        <f t="shared" si="9"/>
        <v>-2.0878245528993464E-3</v>
      </c>
      <c r="E91" s="63">
        <f t="shared" si="9"/>
        <v>-1.9319811741493165E-2</v>
      </c>
      <c r="F91" s="63">
        <f t="shared" si="9"/>
        <v>-3.1154866752985378E-3</v>
      </c>
      <c r="G91" s="63">
        <f t="shared" si="9"/>
        <v>0.7806730185008981</v>
      </c>
      <c r="H91" s="63">
        <f t="shared" si="9"/>
        <v>-7.5567375776865913E-4</v>
      </c>
      <c r="I91" s="63">
        <f t="shared" si="9"/>
        <v>-4.9247061666370271E-3</v>
      </c>
      <c r="J91" s="63">
        <f t="shared" si="9"/>
        <v>-3.4664043397101404E-3</v>
      </c>
      <c r="K91" s="63">
        <f t="shared" si="9"/>
        <v>-7.626025615570021E-3</v>
      </c>
      <c r="L91" s="63">
        <f t="shared" si="9"/>
        <v>-1.2219285308626129E-3</v>
      </c>
      <c r="M91" s="63">
        <f t="shared" si="9"/>
        <v>-7.211677049858322E-3</v>
      </c>
      <c r="N91" s="63">
        <f t="shared" si="9"/>
        <v>-4.5882619178694674E-4</v>
      </c>
      <c r="O91" s="63">
        <f t="shared" si="9"/>
        <v>-2.8005220177671993E-3</v>
      </c>
      <c r="P91" s="63">
        <f t="shared" si="9"/>
        <v>-1.7913195917566153E-3</v>
      </c>
      <c r="Q91" s="63">
        <f t="shared" si="9"/>
        <v>-2.8996338391021223E-4</v>
      </c>
      <c r="R91" s="63">
        <f t="shared" si="9"/>
        <v>-4.8705866638630212E-2</v>
      </c>
      <c r="S91" s="63">
        <f t="shared" si="9"/>
        <v>-4.0702855200754531E-3</v>
      </c>
      <c r="T91" s="63">
        <f t="shared" si="9"/>
        <v>-2.8098125776311522E-3</v>
      </c>
      <c r="U91" s="63">
        <f t="shared" si="9"/>
        <v>1.8404737718731205E-4</v>
      </c>
      <c r="V91" s="63">
        <f t="shared" si="9"/>
        <v>-1.4571341122753769E-2</v>
      </c>
      <c r="W91" s="63">
        <f t="shared" si="9"/>
        <v>-1.0554293969841337E-2</v>
      </c>
      <c r="X91" s="63">
        <f t="shared" si="9"/>
        <v>-6.2325127635514815E-3</v>
      </c>
      <c r="Y91" s="63">
        <f t="shared" si="9"/>
        <v>-8.909329505437583E-3</v>
      </c>
      <c r="Z91" s="63">
        <f t="shared" si="9"/>
        <v>-8.7488564107718325E-3</v>
      </c>
      <c r="AA91" s="63">
        <f t="shared" si="9"/>
        <v>-6.8616833480567236E-3</v>
      </c>
      <c r="AB91" s="63">
        <f t="shared" si="9"/>
        <v>-8.3417862936547541E-4</v>
      </c>
      <c r="AC91" s="63">
        <f t="shared" si="9"/>
        <v>-1.4129205958717032E-2</v>
      </c>
      <c r="AD91" s="63">
        <f t="shared" si="9"/>
        <v>-4.2574037136861595E-3</v>
      </c>
      <c r="AE91" s="63">
        <f t="shared" si="9"/>
        <v>-4.1762794776461654E-3</v>
      </c>
      <c r="AF91" s="63">
        <f t="shared" si="9"/>
        <v>-6.154717980964979E-3</v>
      </c>
      <c r="AG91" s="63">
        <f t="shared" si="9"/>
        <v>-5.8310927912177601E-3</v>
      </c>
      <c r="AH91" s="63">
        <f t="shared" si="9"/>
        <v>-4.1528350756582406E-3</v>
      </c>
      <c r="AI91" s="63">
        <f t="shared" si="9"/>
        <v>-1.0152792064079812E-2</v>
      </c>
      <c r="AJ91" s="63">
        <f t="shared" si="9"/>
        <v>-1.9683427693333749E-3</v>
      </c>
      <c r="AK91" s="65">
        <f t="shared" si="6"/>
        <v>0.55108025020064444</v>
      </c>
    </row>
    <row r="92" spans="1:37" ht="13.5" customHeight="1">
      <c r="A92" s="44" t="s">
        <v>49</v>
      </c>
      <c r="B92" s="15" t="s">
        <v>7</v>
      </c>
      <c r="C92" s="63">
        <f t="shared" ref="C92:AJ92" si="10">C52-C12</f>
        <v>-2.046715974193954E-2</v>
      </c>
      <c r="D92" s="63">
        <f t="shared" si="10"/>
        <v>-2.3647368103875702E-2</v>
      </c>
      <c r="E92" s="63">
        <f t="shared" si="10"/>
        <v>-1.7883116223423846E-3</v>
      </c>
      <c r="F92" s="63">
        <f t="shared" si="10"/>
        <v>-1.6162879706664236E-3</v>
      </c>
      <c r="G92" s="63">
        <f t="shared" si="10"/>
        <v>-4.2534381072849362E-3</v>
      </c>
      <c r="H92" s="63">
        <f t="shared" si="10"/>
        <v>0.97277464176717554</v>
      </c>
      <c r="I92" s="63">
        <f t="shared" si="10"/>
        <v>-4.9248688986443169E-2</v>
      </c>
      <c r="J92" s="63">
        <f t="shared" si="10"/>
        <v>-1.5774265595619803E-2</v>
      </c>
      <c r="K92" s="63">
        <f t="shared" si="10"/>
        <v>-4.4420184622803977E-2</v>
      </c>
      <c r="L92" s="63">
        <f t="shared" si="10"/>
        <v>-2.6445302154394544E-3</v>
      </c>
      <c r="M92" s="63">
        <f t="shared" si="10"/>
        <v>-3.2987228575216466E-3</v>
      </c>
      <c r="N92" s="63">
        <f t="shared" si="10"/>
        <v>-2.4105744662889699E-4</v>
      </c>
      <c r="O92" s="63">
        <f t="shared" si="10"/>
        <v>-2.6996847016251889E-3</v>
      </c>
      <c r="P92" s="63">
        <f t="shared" si="10"/>
        <v>-1.6545526158832577E-3</v>
      </c>
      <c r="Q92" s="63">
        <f t="shared" si="10"/>
        <v>-1.2122567712510017E-3</v>
      </c>
      <c r="R92" s="63">
        <f t="shared" si="10"/>
        <v>-1.5147908828128571E-3</v>
      </c>
      <c r="S92" s="63">
        <f t="shared" si="10"/>
        <v>-7.2826782008278733E-3</v>
      </c>
      <c r="T92" s="63">
        <f t="shared" si="10"/>
        <v>-1.62848334770581E-2</v>
      </c>
      <c r="U92" s="63">
        <f t="shared" si="10"/>
        <v>-1.6236074434280996E-2</v>
      </c>
      <c r="V92" s="63">
        <f t="shared" si="10"/>
        <v>-1.3636434068415002E-2</v>
      </c>
      <c r="W92" s="63">
        <f t="shared" si="10"/>
        <v>-2.2287963374650967E-2</v>
      </c>
      <c r="X92" s="63">
        <f t="shared" si="10"/>
        <v>-7.2136896010221649E-2</v>
      </c>
      <c r="Y92" s="63">
        <f t="shared" si="10"/>
        <v>-1.3188416638045111E-2</v>
      </c>
      <c r="Z92" s="63">
        <f t="shared" si="10"/>
        <v>-1.8027664755237674E-3</v>
      </c>
      <c r="AA92" s="63">
        <f t="shared" si="10"/>
        <v>-6.0517915090319355E-4</v>
      </c>
      <c r="AB92" s="63">
        <f t="shared" si="10"/>
        <v>-3.356312687863244E-3</v>
      </c>
      <c r="AC92" s="63">
        <f t="shared" si="10"/>
        <v>-1.1787783793412431E-2</v>
      </c>
      <c r="AD92" s="63">
        <f t="shared" si="10"/>
        <v>-6.1967228600439735E-3</v>
      </c>
      <c r="AE92" s="63">
        <f t="shared" si="10"/>
        <v>-1.6457111990986734E-2</v>
      </c>
      <c r="AF92" s="63">
        <f t="shared" si="10"/>
        <v>-1.4153804563081358E-2</v>
      </c>
      <c r="AG92" s="63">
        <f t="shared" si="10"/>
        <v>-6.7999946137644518E-3</v>
      </c>
      <c r="AH92" s="63">
        <f t="shared" si="10"/>
        <v>-5.2846171378978617E-3</v>
      </c>
      <c r="AI92" s="63">
        <f t="shared" si="10"/>
        <v>-1.1179126401966468E-2</v>
      </c>
      <c r="AJ92" s="63">
        <f t="shared" si="10"/>
        <v>-4.4866900307353108E-3</v>
      </c>
      <c r="AK92" s="65">
        <f t="shared" si="6"/>
        <v>0.55512993561535873</v>
      </c>
    </row>
    <row r="93" spans="1:37" ht="13.5" customHeight="1">
      <c r="A93" s="169" t="s">
        <v>50</v>
      </c>
      <c r="B93" s="170" t="s">
        <v>8</v>
      </c>
      <c r="C93" s="63">
        <f t="shared" ref="C93:AJ93" si="11">C53-C13</f>
        <v>-6.0925250516286431E-2</v>
      </c>
      <c r="D93" s="63">
        <f t="shared" si="11"/>
        <v>-4.0842502197517408E-2</v>
      </c>
      <c r="E93" s="63">
        <f t="shared" si="11"/>
        <v>-2.3312538614274583E-2</v>
      </c>
      <c r="F93" s="63">
        <f t="shared" si="11"/>
        <v>-7.7472526194371547E-2</v>
      </c>
      <c r="G93" s="63">
        <f t="shared" si="11"/>
        <v>-6.2713655638092849E-2</v>
      </c>
      <c r="H93" s="63">
        <f t="shared" si="11"/>
        <v>-1.6059461363070307E-2</v>
      </c>
      <c r="I93" s="63">
        <f t="shared" si="11"/>
        <v>0.79968756410673691</v>
      </c>
      <c r="J93" s="63">
        <f t="shared" si="11"/>
        <v>-8.8549725528125373E-2</v>
      </c>
      <c r="K93" s="63">
        <f t="shared" si="11"/>
        <v>-3.4463932849130699E-2</v>
      </c>
      <c r="L93" s="63">
        <f t="shared" si="11"/>
        <v>-8.5768067186103233E-3</v>
      </c>
      <c r="M93" s="63">
        <f t="shared" si="11"/>
        <v>-5.7687779698131686E-2</v>
      </c>
      <c r="N93" s="63">
        <f t="shared" si="11"/>
        <v>-3.0886548250348075E-2</v>
      </c>
      <c r="O93" s="63">
        <f t="shared" si="11"/>
        <v>-5.5669064322820538E-2</v>
      </c>
      <c r="P93" s="63">
        <f t="shared" si="11"/>
        <v>-2.7240455354625714E-2</v>
      </c>
      <c r="Q93" s="63">
        <f t="shared" si="11"/>
        <v>-5.8118876543877374E-2</v>
      </c>
      <c r="R93" s="63">
        <f t="shared" si="11"/>
        <v>-8.7337465836999847E-2</v>
      </c>
      <c r="S93" s="63">
        <f t="shared" si="11"/>
        <v>-1.8466403171888669E-2</v>
      </c>
      <c r="T93" s="63">
        <f t="shared" si="11"/>
        <v>-1.5722744797252417E-2</v>
      </c>
      <c r="U93" s="63">
        <f t="shared" si="11"/>
        <v>-4.6688988410936411E-2</v>
      </c>
      <c r="V93" s="63">
        <f t="shared" si="11"/>
        <v>-3.4629424884677712E-2</v>
      </c>
      <c r="W93" s="63">
        <f t="shared" si="11"/>
        <v>-1.2548609966786349E-2</v>
      </c>
      <c r="X93" s="63">
        <f t="shared" si="11"/>
        <v>-6.1522614451099819E-3</v>
      </c>
      <c r="Y93" s="63">
        <f t="shared" si="11"/>
        <v>-2.1164990642260805E-2</v>
      </c>
      <c r="Z93" s="63">
        <f t="shared" si="11"/>
        <v>-3.5031083315102719E-3</v>
      </c>
      <c r="AA93" s="63">
        <f t="shared" si="11"/>
        <v>-5.180137828510031E-4</v>
      </c>
      <c r="AB93" s="63">
        <f t="shared" si="11"/>
        <v>-1.0203057903157772E-3</v>
      </c>
      <c r="AC93" s="63">
        <f t="shared" si="11"/>
        <v>-2.6275554041515246E-2</v>
      </c>
      <c r="AD93" s="63">
        <f t="shared" si="11"/>
        <v>-2.65636038402371E-2</v>
      </c>
      <c r="AE93" s="63">
        <f t="shared" si="11"/>
        <v>-7.9253414307499295E-3</v>
      </c>
      <c r="AF93" s="63">
        <f t="shared" si="11"/>
        <v>-8.0736265292580458E-3</v>
      </c>
      <c r="AG93" s="63">
        <f t="shared" si="11"/>
        <v>-0.10696223957462435</v>
      </c>
      <c r="AH93" s="63">
        <f t="shared" si="11"/>
        <v>-1.1290316834782991E-2</v>
      </c>
      <c r="AI93" s="63">
        <f t="shared" si="11"/>
        <v>-3.998727508904025E-2</v>
      </c>
      <c r="AJ93" s="63">
        <f t="shared" si="11"/>
        <v>-6.3494411054648182E-3</v>
      </c>
      <c r="AK93" s="171">
        <f t="shared" si="6"/>
        <v>-0.3240112751888079</v>
      </c>
    </row>
    <row r="94" spans="1:37" ht="13.5" customHeight="1">
      <c r="A94" s="169"/>
      <c r="B94" s="170" t="s">
        <v>144</v>
      </c>
      <c r="C94" s="63">
        <f t="shared" ref="C94:AJ94" si="12">C54-C14</f>
        <v>-1.2611260881343702E-7</v>
      </c>
      <c r="D94" s="63">
        <f t="shared" si="12"/>
        <v>-8.4542196526882763E-8</v>
      </c>
      <c r="E94" s="63">
        <f t="shared" si="12"/>
        <v>-4.8255937198390974E-8</v>
      </c>
      <c r="F94" s="63">
        <f t="shared" si="12"/>
        <v>-1.6036474707851649E-7</v>
      </c>
      <c r="G94" s="63">
        <f t="shared" si="12"/>
        <v>-1.2981452934088776E-7</v>
      </c>
      <c r="H94" s="63">
        <f t="shared" si="12"/>
        <v>-3.3242383929040911E-8</v>
      </c>
      <c r="I94" s="63">
        <f t="shared" si="12"/>
        <v>-4.1463920905875328E-7</v>
      </c>
      <c r="J94" s="63">
        <f t="shared" si="12"/>
        <v>0.77999980980448036</v>
      </c>
      <c r="K94" s="63">
        <f t="shared" si="12"/>
        <v>-7.1338836438811614E-8</v>
      </c>
      <c r="L94" s="63">
        <f t="shared" si="12"/>
        <v>-1.775361547809178E-8</v>
      </c>
      <c r="M94" s="63">
        <f t="shared" si="12"/>
        <v>-1.1941118555501764E-7</v>
      </c>
      <c r="N94" s="63">
        <f t="shared" si="12"/>
        <v>-6.3933806493782747E-8</v>
      </c>
      <c r="O94" s="63">
        <f t="shared" si="12"/>
        <v>-1.1523253285724615E-7</v>
      </c>
      <c r="P94" s="63">
        <f t="shared" si="12"/>
        <v>-5.638655337362088E-8</v>
      </c>
      <c r="Q94" s="63">
        <f t="shared" si="12"/>
        <v>-1.2030353720572935E-7</v>
      </c>
      <c r="R94" s="63">
        <f t="shared" si="12"/>
        <v>-1.8078474147454084E-7</v>
      </c>
      <c r="S94" s="63">
        <f t="shared" si="12"/>
        <v>-3.8224648395742998E-8</v>
      </c>
      <c r="T94" s="63">
        <f t="shared" si="12"/>
        <v>-3.2545395337510305E-8</v>
      </c>
      <c r="U94" s="63">
        <f t="shared" si="12"/>
        <v>-9.6644167754214295E-8</v>
      </c>
      <c r="V94" s="63">
        <f t="shared" si="12"/>
        <v>-7.1681397727666738E-8</v>
      </c>
      <c r="W94" s="63">
        <f t="shared" si="12"/>
        <v>-2.5975074808608005E-8</v>
      </c>
      <c r="X94" s="63">
        <f t="shared" si="12"/>
        <v>-1.2734912607995587E-8</v>
      </c>
      <c r="Y94" s="63">
        <f t="shared" si="12"/>
        <v>-4.3810606649766234E-8</v>
      </c>
      <c r="Z94" s="63">
        <f t="shared" si="12"/>
        <v>-7.2512813143829323E-9</v>
      </c>
      <c r="AA94" s="63">
        <f t="shared" si="12"/>
        <v>-1.0722659160702815E-9</v>
      </c>
      <c r="AB94" s="63">
        <f t="shared" si="12"/>
        <v>-2.1119884434415498E-9</v>
      </c>
      <c r="AC94" s="63">
        <f t="shared" si="12"/>
        <v>-5.4389249779254153E-8</v>
      </c>
      <c r="AD94" s="63">
        <f t="shared" si="12"/>
        <v>-5.4985500287494384E-8</v>
      </c>
      <c r="AE94" s="63">
        <f t="shared" si="12"/>
        <v>-1.6405110772616526E-8</v>
      </c>
      <c r="AF94" s="63">
        <f t="shared" si="12"/>
        <v>-1.6712054452987885E-8</v>
      </c>
      <c r="AG94" s="63">
        <f t="shared" si="12"/>
        <v>-2.2140716637148338E-7</v>
      </c>
      <c r="AH94" s="63">
        <f t="shared" si="12"/>
        <v>-2.3370462957458474E-8</v>
      </c>
      <c r="AI94" s="63">
        <f t="shared" si="12"/>
        <v>-8.2771913748165353E-8</v>
      </c>
      <c r="AJ94" s="63">
        <f t="shared" si="12"/>
        <v>-1.3143065896846629E-8</v>
      </c>
      <c r="AK94" s="171"/>
    </row>
    <row r="95" spans="1:37" ht="13.5" customHeight="1">
      <c r="A95" s="44" t="s">
        <v>51</v>
      </c>
      <c r="B95" s="15" t="s">
        <v>9</v>
      </c>
      <c r="C95" s="63">
        <f t="shared" ref="C95:AJ95" si="13">C55-C15</f>
        <v>-4.9075128447050509E-4</v>
      </c>
      <c r="D95" s="63">
        <f t="shared" si="13"/>
        <v>-1.6725500352288713E-3</v>
      </c>
      <c r="E95" s="63">
        <f t="shared" si="13"/>
        <v>-4.7529990483014756E-3</v>
      </c>
      <c r="F95" s="63">
        <f t="shared" si="13"/>
        <v>-4.2699455043893438E-4</v>
      </c>
      <c r="G95" s="63">
        <f t="shared" si="13"/>
        <v>-1.0342823308872962E-3</v>
      </c>
      <c r="H95" s="63">
        <f t="shared" si="13"/>
        <v>-7.258147215311279E-4</v>
      </c>
      <c r="I95" s="63">
        <f t="shared" si="13"/>
        <v>-2.7475554511391057E-3</v>
      </c>
      <c r="J95" s="63">
        <f t="shared" si="13"/>
        <v>-1.3292476016244308E-3</v>
      </c>
      <c r="K95" s="63">
        <f t="shared" si="13"/>
        <v>0.88143197768201342</v>
      </c>
      <c r="L95" s="63">
        <f t="shared" si="13"/>
        <v>-1.4737936880083114E-2</v>
      </c>
      <c r="M95" s="63">
        <f t="shared" si="13"/>
        <v>-3.7405535675623285E-3</v>
      </c>
      <c r="N95" s="63">
        <f t="shared" si="13"/>
        <v>-3.9513434488304298E-3</v>
      </c>
      <c r="O95" s="63">
        <f t="shared" si="13"/>
        <v>-5.1686823353461649E-3</v>
      </c>
      <c r="P95" s="63">
        <f t="shared" si="13"/>
        <v>-1.9154654902679607E-3</v>
      </c>
      <c r="Q95" s="63">
        <f t="shared" si="13"/>
        <v>-5.1154806457724255E-3</v>
      </c>
      <c r="R95" s="63">
        <f t="shared" si="13"/>
        <v>-6.6546387693801968E-3</v>
      </c>
      <c r="S95" s="63">
        <f t="shared" si="13"/>
        <v>-1.3840167020824918E-3</v>
      </c>
      <c r="T95" s="63">
        <f t="shared" si="13"/>
        <v>1.0704330466749473E-3</v>
      </c>
      <c r="U95" s="63">
        <f t="shared" si="13"/>
        <v>-4.4577839384751126E-3</v>
      </c>
      <c r="V95" s="63">
        <f t="shared" si="13"/>
        <v>-8.1019038725411621E-2</v>
      </c>
      <c r="W95" s="63">
        <f t="shared" si="13"/>
        <v>-2.7136210337933692E-4</v>
      </c>
      <c r="X95" s="63">
        <f t="shared" si="13"/>
        <v>-3.4055515091451351E-4</v>
      </c>
      <c r="Y95" s="63">
        <f t="shared" si="13"/>
        <v>-2.9586413446816943E-3</v>
      </c>
      <c r="Z95" s="63">
        <f t="shared" si="13"/>
        <v>-6.2523242657010693E-5</v>
      </c>
      <c r="AA95" s="63">
        <f t="shared" si="13"/>
        <v>-1.6159818771702739E-5</v>
      </c>
      <c r="AB95" s="63">
        <f t="shared" si="13"/>
        <v>-3.0956058830668669E-4</v>
      </c>
      <c r="AC95" s="63">
        <f t="shared" si="13"/>
        <v>-6.2426453918319313E-4</v>
      </c>
      <c r="AD95" s="63">
        <f t="shared" si="13"/>
        <v>-1.5667833286337595E-3</v>
      </c>
      <c r="AE95" s="63">
        <f t="shared" si="13"/>
        <v>-1.6322082431776564E-3</v>
      </c>
      <c r="AF95" s="63">
        <f t="shared" si="13"/>
        <v>-9.188150937640213E-4</v>
      </c>
      <c r="AG95" s="63">
        <f t="shared" si="13"/>
        <v>-3.0237570724172571E-4</v>
      </c>
      <c r="AH95" s="63">
        <f t="shared" si="13"/>
        <v>-2.1903036198154457E-3</v>
      </c>
      <c r="AI95" s="63">
        <f t="shared" si="13"/>
        <v>-4.2509744012002922E-4</v>
      </c>
      <c r="AJ95" s="63">
        <f t="shared" si="13"/>
        <v>-9.0996759136877418E-4</v>
      </c>
      <c r="AK95" s="65">
        <f t="shared" ref="AK95:AK122" si="14">SUM(C95:AJ95)</f>
        <v>0.72864865738983953</v>
      </c>
    </row>
    <row r="96" spans="1:37" ht="13.5" customHeight="1">
      <c r="A96" s="44" t="s">
        <v>52</v>
      </c>
      <c r="B96" s="15" t="s">
        <v>10</v>
      </c>
      <c r="C96" s="63">
        <f t="shared" ref="C96:AJ96" si="15">C56-C16</f>
        <v>-1.2245897756562277E-3</v>
      </c>
      <c r="D96" s="63">
        <f t="shared" si="15"/>
        <v>-1.5373793061498739E-3</v>
      </c>
      <c r="E96" s="63">
        <f t="shared" si="15"/>
        <v>-1.4385815352503328E-4</v>
      </c>
      <c r="F96" s="63">
        <f t="shared" si="15"/>
        <v>2.8734261755954727E-5</v>
      </c>
      <c r="G96" s="63">
        <f t="shared" si="15"/>
        <v>-8.0866292814709339E-4</v>
      </c>
      <c r="H96" s="63">
        <f t="shared" si="15"/>
        <v>-3.1039521617460823E-3</v>
      </c>
      <c r="I96" s="63">
        <f t="shared" si="15"/>
        <v>-3.8046729534520099E-3</v>
      </c>
      <c r="J96" s="63">
        <f t="shared" si="15"/>
        <v>-1.2194873519174388E-3</v>
      </c>
      <c r="K96" s="63">
        <f t="shared" si="15"/>
        <v>-1.7324688096158294E-2</v>
      </c>
      <c r="L96" s="63">
        <f t="shared" si="15"/>
        <v>0.82399369831372637</v>
      </c>
      <c r="M96" s="63">
        <f t="shared" si="15"/>
        <v>-0.16136989750680875</v>
      </c>
      <c r="N96" s="63">
        <f t="shared" si="15"/>
        <v>-1.250761799753101E-2</v>
      </c>
      <c r="O96" s="63">
        <f t="shared" si="15"/>
        <v>-8.0660116497663928E-2</v>
      </c>
      <c r="P96" s="63">
        <f t="shared" si="15"/>
        <v>-6.4634133001236715E-2</v>
      </c>
      <c r="Q96" s="63">
        <f t="shared" si="15"/>
        <v>-6.0220729357351212E-2</v>
      </c>
      <c r="R96" s="63">
        <f t="shared" si="15"/>
        <v>-5.1989497108982402E-2</v>
      </c>
      <c r="S96" s="63">
        <f t="shared" si="15"/>
        <v>-1.0198259752092667E-2</v>
      </c>
      <c r="T96" s="63">
        <f t="shared" si="15"/>
        <v>-2.4979693932177735E-3</v>
      </c>
      <c r="U96" s="63">
        <f t="shared" si="15"/>
        <v>-3.8896844949953373E-3</v>
      </c>
      <c r="V96" s="63">
        <f t="shared" si="15"/>
        <v>-6.8769649886554637E-2</v>
      </c>
      <c r="W96" s="63">
        <f t="shared" si="15"/>
        <v>1.8260294710260978E-6</v>
      </c>
      <c r="X96" s="63">
        <f t="shared" si="15"/>
        <v>-6.4855377909240266E-5</v>
      </c>
      <c r="Y96" s="63">
        <f t="shared" si="15"/>
        <v>-1.2191164539762264E-4</v>
      </c>
      <c r="Z96" s="63">
        <f t="shared" si="15"/>
        <v>9.7277718592151749E-5</v>
      </c>
      <c r="AA96" s="63">
        <f t="shared" si="15"/>
        <v>2.9877478436427897E-7</v>
      </c>
      <c r="AB96" s="63">
        <f t="shared" si="15"/>
        <v>1.9719578252523601E-6</v>
      </c>
      <c r="AC96" s="63">
        <f t="shared" si="15"/>
        <v>-1.0655888229748063E-3</v>
      </c>
      <c r="AD96" s="63">
        <f t="shared" si="15"/>
        <v>-6.7423848262775005E-6</v>
      </c>
      <c r="AE96" s="63">
        <f t="shared" si="15"/>
        <v>-1.5250130101283919E-5</v>
      </c>
      <c r="AF96" s="63">
        <f t="shared" si="15"/>
        <v>1.2749208160268139E-4</v>
      </c>
      <c r="AG96" s="63">
        <f t="shared" si="15"/>
        <v>-7.9296849673236793E-4</v>
      </c>
      <c r="AH96" s="63">
        <f t="shared" si="15"/>
        <v>7.4836996536308253E-5</v>
      </c>
      <c r="AI96" s="63">
        <f t="shared" si="15"/>
        <v>3.6899457801009225E-4</v>
      </c>
      <c r="AJ96" s="63">
        <f t="shared" si="15"/>
        <v>-1.8199351827375484E-3</v>
      </c>
      <c r="AK96" s="65">
        <f t="shared" si="14"/>
        <v>0.2749030329484386</v>
      </c>
    </row>
    <row r="97" spans="1:37" ht="13.5" customHeight="1">
      <c r="A97" s="44" t="s">
        <v>53</v>
      </c>
      <c r="B97" s="15" t="s">
        <v>54</v>
      </c>
      <c r="C97" s="63">
        <f t="shared" ref="C97:AJ97" si="16">C57-C17</f>
        <v>-1.0304710387414042E-3</v>
      </c>
      <c r="D97" s="63">
        <f t="shared" si="16"/>
        <v>-2.110090175772637E-2</v>
      </c>
      <c r="E97" s="63">
        <f t="shared" si="16"/>
        <v>-1.2155726135940884E-2</v>
      </c>
      <c r="F97" s="63">
        <f t="shared" si="16"/>
        <v>-1.6606578897370025E-3</v>
      </c>
      <c r="G97" s="63">
        <f t="shared" si="16"/>
        <v>-1.0618679537005706E-2</v>
      </c>
      <c r="H97" s="63">
        <f t="shared" si="16"/>
        <v>-1.6268337948060978E-2</v>
      </c>
      <c r="I97" s="63">
        <f t="shared" si="16"/>
        <v>-6.1769680168513351E-3</v>
      </c>
      <c r="J97" s="63">
        <f t="shared" si="16"/>
        <v>-4.0740742722591176E-3</v>
      </c>
      <c r="K97" s="63">
        <f t="shared" si="16"/>
        <v>-1.1539849944293962E-2</v>
      </c>
      <c r="L97" s="63">
        <f t="shared" si="16"/>
        <v>-7.717675108366317E-3</v>
      </c>
      <c r="M97" s="63">
        <f t="shared" si="16"/>
        <v>0.86601337898694786</v>
      </c>
      <c r="N97" s="63">
        <f t="shared" si="16"/>
        <v>-6.2650890726854945E-3</v>
      </c>
      <c r="O97" s="63">
        <f t="shared" si="16"/>
        <v>-2.85164341121017E-2</v>
      </c>
      <c r="P97" s="63">
        <f t="shared" si="16"/>
        <v>-0.10234999877859673</v>
      </c>
      <c r="Q97" s="63">
        <f t="shared" si="16"/>
        <v>-5.0482706115070212E-2</v>
      </c>
      <c r="R97" s="63">
        <f t="shared" si="16"/>
        <v>-4.5872288994031736E-2</v>
      </c>
      <c r="S97" s="63">
        <f t="shared" si="16"/>
        <v>-1.1683596360830269E-2</v>
      </c>
      <c r="T97" s="63">
        <f t="shared" si="16"/>
        <v>-5.2668995271587067E-3</v>
      </c>
      <c r="U97" s="63">
        <f t="shared" si="16"/>
        <v>-1.3067507324334399E-2</v>
      </c>
      <c r="V97" s="63">
        <f t="shared" si="16"/>
        <v>-7.2640657321640087E-2</v>
      </c>
      <c r="W97" s="63">
        <f t="shared" si="16"/>
        <v>-2.6871234293422636E-3</v>
      </c>
      <c r="X97" s="63">
        <f t="shared" si="16"/>
        <v>-3.3058386823575123E-3</v>
      </c>
      <c r="Y97" s="63">
        <f t="shared" si="16"/>
        <v>-6.8008337190412311E-3</v>
      </c>
      <c r="Z97" s="63">
        <f t="shared" si="16"/>
        <v>-1.1391653273993252E-3</v>
      </c>
      <c r="AA97" s="63">
        <f t="shared" si="16"/>
        <v>-5.9002823828738758E-4</v>
      </c>
      <c r="AB97" s="63">
        <f t="shared" si="16"/>
        <v>-7.3104082027382496E-4</v>
      </c>
      <c r="AC97" s="63">
        <f t="shared" si="16"/>
        <v>-3.1106337738001418E-3</v>
      </c>
      <c r="AD97" s="63">
        <f t="shared" si="16"/>
        <v>-7.5477983806025092E-3</v>
      </c>
      <c r="AE97" s="63">
        <f t="shared" si="16"/>
        <v>-7.8120309545156152E-3</v>
      </c>
      <c r="AF97" s="63">
        <f t="shared" si="16"/>
        <v>-3.0183751939245789E-3</v>
      </c>
      <c r="AG97" s="63">
        <f t="shared" si="16"/>
        <v>-1.6130370044101468E-3</v>
      </c>
      <c r="AH97" s="63">
        <f t="shared" si="16"/>
        <v>-3.9134401480764814E-3</v>
      </c>
      <c r="AI97" s="63">
        <f t="shared" si="16"/>
        <v>-1.1374604067653581E-2</v>
      </c>
      <c r="AJ97" s="63">
        <f t="shared" si="16"/>
        <v>-3.1462408358315279E-3</v>
      </c>
      <c r="AK97" s="65">
        <f t="shared" si="14"/>
        <v>0.38073466915599935</v>
      </c>
    </row>
    <row r="98" spans="1:37" ht="13.5" customHeight="1">
      <c r="A98" s="44" t="s">
        <v>55</v>
      </c>
      <c r="B98" s="15" t="s">
        <v>56</v>
      </c>
      <c r="C98" s="63">
        <f t="shared" ref="C98:AJ98" si="17">C58-C18</f>
        <v>-2.4424965095282826E-3</v>
      </c>
      <c r="D98" s="63">
        <f t="shared" si="17"/>
        <v>-2.4959650598684303E-3</v>
      </c>
      <c r="E98" s="63">
        <f t="shared" si="17"/>
        <v>-9.8081117324824978E-4</v>
      </c>
      <c r="F98" s="63">
        <f t="shared" si="17"/>
        <v>-5.8262421517765945E-4</v>
      </c>
      <c r="G98" s="63">
        <f t="shared" si="17"/>
        <v>-3.9679772551077051E-3</v>
      </c>
      <c r="H98" s="63">
        <f t="shared" si="17"/>
        <v>-4.5987843226421559E-3</v>
      </c>
      <c r="I98" s="63">
        <f t="shared" si="17"/>
        <v>-1.6526507051490558E-3</v>
      </c>
      <c r="J98" s="63">
        <f t="shared" si="17"/>
        <v>-1.0678953648008745E-3</v>
      </c>
      <c r="K98" s="63">
        <f t="shared" si="17"/>
        <v>-1.7188128227532784E-3</v>
      </c>
      <c r="L98" s="63">
        <f t="shared" si="17"/>
        <v>-2.3829552687039011E-3</v>
      </c>
      <c r="M98" s="63">
        <f t="shared" si="17"/>
        <v>-8.0616257764833023E-3</v>
      </c>
      <c r="N98" s="63">
        <f t="shared" si="17"/>
        <v>0.85702724716160661</v>
      </c>
      <c r="O98" s="63">
        <f t="shared" si="17"/>
        <v>-4.8528328863390313E-2</v>
      </c>
      <c r="P98" s="63">
        <f t="shared" si="17"/>
        <v>-3.4499232446026311E-2</v>
      </c>
      <c r="Q98" s="63">
        <f t="shared" si="17"/>
        <v>-1.8566264380846249E-2</v>
      </c>
      <c r="R98" s="63">
        <f t="shared" si="17"/>
        <v>-4.7639055560724673E-3</v>
      </c>
      <c r="S98" s="63">
        <f t="shared" si="17"/>
        <v>-2.2724862942306124E-2</v>
      </c>
      <c r="T98" s="63">
        <f t="shared" si="17"/>
        <v>-6.9397964646344774E-3</v>
      </c>
      <c r="U98" s="63">
        <f t="shared" si="17"/>
        <v>-1.0584650070743285E-2</v>
      </c>
      <c r="V98" s="63">
        <f t="shared" si="17"/>
        <v>-2.6210596611222639E-3</v>
      </c>
      <c r="W98" s="63">
        <f t="shared" si="17"/>
        <v>-7.4891244307731444E-3</v>
      </c>
      <c r="X98" s="63">
        <f t="shared" si="17"/>
        <v>-3.1218640416556054E-3</v>
      </c>
      <c r="Y98" s="63">
        <f t="shared" si="17"/>
        <v>-6.7283956035932456E-3</v>
      </c>
      <c r="Z98" s="63">
        <f t="shared" si="17"/>
        <v>-2.6037932437674407E-2</v>
      </c>
      <c r="AA98" s="63">
        <f t="shared" si="17"/>
        <v>-2.0894662992088997E-3</v>
      </c>
      <c r="AB98" s="63">
        <f t="shared" si="17"/>
        <v>-2.2305123999596089E-3</v>
      </c>
      <c r="AC98" s="63">
        <f t="shared" si="17"/>
        <v>-2.9743280879458198E-2</v>
      </c>
      <c r="AD98" s="63">
        <f t="shared" si="17"/>
        <v>-1.0555802845627326E-2</v>
      </c>
      <c r="AE98" s="63">
        <f t="shared" si="17"/>
        <v>-3.6408019408039317E-3</v>
      </c>
      <c r="AF98" s="63">
        <f t="shared" si="17"/>
        <v>-9.5375895179622035E-3</v>
      </c>
      <c r="AG98" s="63">
        <f t="shared" si="17"/>
        <v>-8.6057113727091884E-3</v>
      </c>
      <c r="AH98" s="63">
        <f t="shared" si="17"/>
        <v>-7.7056295241935786E-3</v>
      </c>
      <c r="AI98" s="63">
        <f t="shared" si="17"/>
        <v>-2.6841028349040931E-2</v>
      </c>
      <c r="AJ98" s="63">
        <f t="shared" si="17"/>
        <v>-1.0309645955275731E-2</v>
      </c>
      <c r="AK98" s="65">
        <f t="shared" si="14"/>
        <v>0.52320976270506625</v>
      </c>
    </row>
    <row r="99" spans="1:37" ht="13.5" customHeight="1">
      <c r="A99" s="44" t="s">
        <v>57</v>
      </c>
      <c r="B99" s="15" t="s">
        <v>58</v>
      </c>
      <c r="C99" s="63">
        <f t="shared" ref="C99:AJ99" si="18">C59-C19</f>
        <v>-1.7132078871936029E-3</v>
      </c>
      <c r="D99" s="63">
        <f t="shared" si="18"/>
        <v>-1.770943061770958E-2</v>
      </c>
      <c r="E99" s="63">
        <f t="shared" si="18"/>
        <v>-7.3381419644058662E-4</v>
      </c>
      <c r="F99" s="63">
        <f t="shared" si="18"/>
        <v>-9.1835612770817211E-4</v>
      </c>
      <c r="G99" s="63">
        <f t="shared" si="18"/>
        <v>-3.6754111234328798E-3</v>
      </c>
      <c r="H99" s="63">
        <f t="shared" si="18"/>
        <v>-2.6538634381572408E-3</v>
      </c>
      <c r="I99" s="63">
        <f t="shared" si="18"/>
        <v>-1.2532516107424078E-3</v>
      </c>
      <c r="J99" s="63">
        <f t="shared" si="18"/>
        <v>-8.3889527659344453E-4</v>
      </c>
      <c r="K99" s="63">
        <f t="shared" si="18"/>
        <v>-6.4698410255042129E-3</v>
      </c>
      <c r="L99" s="63">
        <f t="shared" si="18"/>
        <v>-2.4588284702432598E-3</v>
      </c>
      <c r="M99" s="63">
        <f t="shared" si="18"/>
        <v>-9.5878313244260899E-3</v>
      </c>
      <c r="N99" s="63">
        <f t="shared" si="18"/>
        <v>-1.3201154151523408E-2</v>
      </c>
      <c r="O99" s="63">
        <f t="shared" si="18"/>
        <v>0.84279411473829002</v>
      </c>
      <c r="P99" s="63">
        <f t="shared" si="18"/>
        <v>-3.59191279101874E-2</v>
      </c>
      <c r="Q99" s="63">
        <f t="shared" si="18"/>
        <v>-5.706734010949556E-2</v>
      </c>
      <c r="R99" s="63">
        <f t="shared" si="18"/>
        <v>-1.0321121639715264E-2</v>
      </c>
      <c r="S99" s="63">
        <f t="shared" si="18"/>
        <v>-1.9391088848095553E-2</v>
      </c>
      <c r="T99" s="63">
        <f t="shared" si="18"/>
        <v>-1.1244933372363179E-2</v>
      </c>
      <c r="U99" s="63">
        <f t="shared" si="18"/>
        <v>-2.3250162324379854E-2</v>
      </c>
      <c r="V99" s="63">
        <f t="shared" si="18"/>
        <v>-4.0353581233758998E-2</v>
      </c>
      <c r="W99" s="63">
        <f t="shared" si="18"/>
        <v>-4.7381732005700276E-3</v>
      </c>
      <c r="X99" s="63">
        <f t="shared" si="18"/>
        <v>-1.2870883583801047E-2</v>
      </c>
      <c r="Y99" s="63">
        <f t="shared" si="18"/>
        <v>-1.1240333263781063E-2</v>
      </c>
      <c r="Z99" s="63">
        <f t="shared" si="18"/>
        <v>-1.4254653433995769E-2</v>
      </c>
      <c r="AA99" s="63">
        <f t="shared" si="18"/>
        <v>-1.5951109429581606E-3</v>
      </c>
      <c r="AB99" s="63">
        <f t="shared" si="18"/>
        <v>-3.1137066899703026E-3</v>
      </c>
      <c r="AC99" s="63">
        <f t="shared" si="18"/>
        <v>-2.248429386315301E-2</v>
      </c>
      <c r="AD99" s="63">
        <f t="shared" si="18"/>
        <v>-1.6793139392687551E-2</v>
      </c>
      <c r="AE99" s="63">
        <f t="shared" si="18"/>
        <v>-4.4136562194816891E-3</v>
      </c>
      <c r="AF99" s="63">
        <f t="shared" si="18"/>
        <v>-5.0407027071712792E-3</v>
      </c>
      <c r="AG99" s="63">
        <f t="shared" si="18"/>
        <v>-2.5902709737806004E-3</v>
      </c>
      <c r="AH99" s="63">
        <f t="shared" si="18"/>
        <v>-6.9612162443144481E-3</v>
      </c>
      <c r="AI99" s="63">
        <f t="shared" si="18"/>
        <v>-3.1839305618625663E-2</v>
      </c>
      <c r="AJ99" s="63">
        <f t="shared" si="18"/>
        <v>-2.3476287356131794E-3</v>
      </c>
      <c r="AK99" s="65">
        <f t="shared" si="14"/>
        <v>0.44374979918071561</v>
      </c>
    </row>
    <row r="100" spans="1:37" ht="13.5" customHeight="1">
      <c r="A100" s="44" t="s">
        <v>59</v>
      </c>
      <c r="B100" s="15" t="s">
        <v>11</v>
      </c>
      <c r="C100" s="63">
        <f t="shared" ref="C100:AJ100" si="19">C60-C20</f>
        <v>-1.6196453022151826E-3</v>
      </c>
      <c r="D100" s="63">
        <f t="shared" si="19"/>
        <v>-2.2122379447891402E-2</v>
      </c>
      <c r="E100" s="63">
        <f t="shared" si="19"/>
        <v>-1.835939038771058E-3</v>
      </c>
      <c r="F100" s="63">
        <f t="shared" si="19"/>
        <v>-2.8111401022455114E-4</v>
      </c>
      <c r="G100" s="63">
        <f t="shared" si="19"/>
        <v>-1.5874229840367221E-3</v>
      </c>
      <c r="H100" s="63">
        <f t="shared" si="19"/>
        <v>-7.4607208399523599E-3</v>
      </c>
      <c r="I100" s="63">
        <f t="shared" si="19"/>
        <v>-1.4289185236069674E-3</v>
      </c>
      <c r="J100" s="63">
        <f t="shared" si="19"/>
        <v>-6.8249544383977026E-2</v>
      </c>
      <c r="K100" s="63">
        <f t="shared" si="19"/>
        <v>-2.8343698189980688E-3</v>
      </c>
      <c r="L100" s="63">
        <f t="shared" si="19"/>
        <v>-2.9667099241188774E-3</v>
      </c>
      <c r="M100" s="63">
        <f t="shared" si="19"/>
        <v>-1.51151576451768E-2</v>
      </c>
      <c r="N100" s="63">
        <f t="shared" si="19"/>
        <v>-3.649500240038097E-3</v>
      </c>
      <c r="O100" s="63">
        <f t="shared" si="19"/>
        <v>-5.628754037392711E-3</v>
      </c>
      <c r="P100" s="63">
        <f t="shared" si="19"/>
        <v>0.88040754466978555</v>
      </c>
      <c r="Q100" s="63">
        <f t="shared" si="19"/>
        <v>-1.770566722380439E-2</v>
      </c>
      <c r="R100" s="63">
        <f t="shared" si="19"/>
        <v>-1.7714999642922159E-3</v>
      </c>
      <c r="S100" s="63">
        <f t="shared" si="19"/>
        <v>-1.0119604596171785E-2</v>
      </c>
      <c r="T100" s="63">
        <f t="shared" si="19"/>
        <v>-5.6679641452859596E-3</v>
      </c>
      <c r="U100" s="63">
        <f t="shared" si="19"/>
        <v>-2.7188795335393031E-2</v>
      </c>
      <c r="V100" s="63">
        <f t="shared" si="19"/>
        <v>-2.805068873954402E-2</v>
      </c>
      <c r="W100" s="63">
        <f t="shared" si="19"/>
        <v>-1.3675144797075059E-3</v>
      </c>
      <c r="X100" s="63">
        <f t="shared" si="19"/>
        <v>-2.4804164627495358E-3</v>
      </c>
      <c r="Y100" s="63">
        <f t="shared" si="19"/>
        <v>-1.6500354140904512E-3</v>
      </c>
      <c r="Z100" s="63">
        <f t="shared" si="19"/>
        <v>-5.0906809874102545E-4</v>
      </c>
      <c r="AA100" s="63">
        <f t="shared" si="19"/>
        <v>-1.4981173897732353E-4</v>
      </c>
      <c r="AB100" s="63">
        <f t="shared" si="19"/>
        <v>-1.2221245412259434E-3</v>
      </c>
      <c r="AC100" s="63">
        <f t="shared" si="19"/>
        <v>-3.0373435290243877E-3</v>
      </c>
      <c r="AD100" s="63">
        <f t="shared" si="19"/>
        <v>-2.4419005304074071E-3</v>
      </c>
      <c r="AE100" s="63">
        <f t="shared" si="19"/>
        <v>-2.2805732759395912E-3</v>
      </c>
      <c r="AF100" s="63">
        <f t="shared" si="19"/>
        <v>-2.3682543433919036E-3</v>
      </c>
      <c r="AG100" s="63">
        <f t="shared" si="19"/>
        <v>-1.0825858893414335E-3</v>
      </c>
      <c r="AH100" s="63">
        <f t="shared" si="19"/>
        <v>-2.323408992424014E-3</v>
      </c>
      <c r="AI100" s="63">
        <f t="shared" si="19"/>
        <v>-1.4446670816579119E-3</v>
      </c>
      <c r="AJ100" s="63">
        <f t="shared" si="19"/>
        <v>-1.2960265213321463E-3</v>
      </c>
      <c r="AK100" s="65">
        <f t="shared" si="14"/>
        <v>0.63146941756988384</v>
      </c>
    </row>
    <row r="101" spans="1:37" ht="13.5" customHeight="1">
      <c r="A101" s="44" t="s">
        <v>60</v>
      </c>
      <c r="B101" s="15" t="s">
        <v>12</v>
      </c>
      <c r="C101" s="63">
        <f t="shared" ref="C101:AJ101" si="20">C61-C21</f>
        <v>-2.8871685584242785E-3</v>
      </c>
      <c r="D101" s="63">
        <f t="shared" si="20"/>
        <v>-3.2236529251227379E-2</v>
      </c>
      <c r="E101" s="63">
        <f t="shared" si="20"/>
        <v>-1.983936561399769E-4</v>
      </c>
      <c r="F101" s="63">
        <f t="shared" si="20"/>
        <v>-1.8102869968372073E-4</v>
      </c>
      <c r="G101" s="63">
        <f t="shared" si="20"/>
        <v>-1.5776933927648903E-3</v>
      </c>
      <c r="H101" s="63">
        <f t="shared" si="20"/>
        <v>-1.4797044132119983E-3</v>
      </c>
      <c r="I101" s="63">
        <f t="shared" si="20"/>
        <v>-7.4157137569218733E-4</v>
      </c>
      <c r="J101" s="63">
        <f t="shared" si="20"/>
        <v>-5.1896736309596416E-4</v>
      </c>
      <c r="K101" s="63">
        <f t="shared" si="20"/>
        <v>-3.8863982435973078E-3</v>
      </c>
      <c r="L101" s="63">
        <f t="shared" si="20"/>
        <v>-8.7012388051071338E-4</v>
      </c>
      <c r="M101" s="63">
        <f t="shared" si="20"/>
        <v>-1.896905776360043E-3</v>
      </c>
      <c r="N101" s="63">
        <f t="shared" si="20"/>
        <v>-2.8329166934193854E-5</v>
      </c>
      <c r="O101" s="63">
        <f t="shared" si="20"/>
        <v>-3.2847958334067281E-4</v>
      </c>
      <c r="P101" s="63">
        <f t="shared" si="20"/>
        <v>-3.2728647866458629E-3</v>
      </c>
      <c r="Q101" s="63">
        <f t="shared" si="20"/>
        <v>0.74508396650795228</v>
      </c>
      <c r="R101" s="63">
        <f t="shared" si="20"/>
        <v>-6.2878177306094894E-4</v>
      </c>
      <c r="S101" s="63">
        <f t="shared" si="20"/>
        <v>-3.7147949997055854E-2</v>
      </c>
      <c r="T101" s="63">
        <f t="shared" si="20"/>
        <v>-1.0084138323879146E-3</v>
      </c>
      <c r="U101" s="63">
        <f t="shared" si="20"/>
        <v>-1.3752164524431435E-2</v>
      </c>
      <c r="V101" s="63">
        <f t="shared" si="20"/>
        <v>-1.0809427264012903E-4</v>
      </c>
      <c r="W101" s="63">
        <f t="shared" si="20"/>
        <v>-1.7052038248396666E-3</v>
      </c>
      <c r="X101" s="63">
        <f t="shared" si="20"/>
        <v>-2.6231534440495294E-2</v>
      </c>
      <c r="Y101" s="63">
        <f t="shared" si="20"/>
        <v>-7.8966797821952543E-4</v>
      </c>
      <c r="Z101" s="63">
        <f t="shared" si="20"/>
        <v>-6.8107229234701076E-4</v>
      </c>
      <c r="AA101" s="63">
        <f t="shared" si="20"/>
        <v>-9.74871810895272E-5</v>
      </c>
      <c r="AB101" s="63">
        <f t="shared" si="20"/>
        <v>-1.5843724579196432E-4</v>
      </c>
      <c r="AC101" s="63">
        <f t="shared" si="20"/>
        <v>-9.6809500129549069E-3</v>
      </c>
      <c r="AD101" s="63">
        <f t="shared" si="20"/>
        <v>-6.0305331218234049E-3</v>
      </c>
      <c r="AE101" s="63">
        <f t="shared" si="20"/>
        <v>-1.503181972476117E-2</v>
      </c>
      <c r="AF101" s="63">
        <f t="shared" si="20"/>
        <v>-1.068103351740714E-3</v>
      </c>
      <c r="AG101" s="63">
        <f t="shared" si="20"/>
        <v>-1.0273500529221369E-3</v>
      </c>
      <c r="AH101" s="63">
        <f t="shared" si="20"/>
        <v>-1.6682066055658602E-3</v>
      </c>
      <c r="AI101" s="63">
        <f t="shared" si="20"/>
        <v>-9.0483058755493173E-2</v>
      </c>
      <c r="AJ101" s="63">
        <f t="shared" si="20"/>
        <v>-1.5713275745877606E-3</v>
      </c>
      <c r="AK101" s="65">
        <f t="shared" si="14"/>
        <v>0.48610965179811477</v>
      </c>
    </row>
    <row r="102" spans="1:37" ht="13.5" customHeight="1">
      <c r="A102" s="44" t="s">
        <v>61</v>
      </c>
      <c r="B102" s="15" t="s">
        <v>62</v>
      </c>
      <c r="C102" s="63">
        <f t="shared" ref="C102:AJ102" si="21">C62-C22</f>
        <v>-1.7393460061717014E-4</v>
      </c>
      <c r="D102" s="63">
        <f t="shared" si="21"/>
        <v>-8.1477911694840068E-4</v>
      </c>
      <c r="E102" s="63">
        <f t="shared" si="21"/>
        <v>-1.4361253268285479E-3</v>
      </c>
      <c r="F102" s="63">
        <f t="shared" si="21"/>
        <v>-1.2089769596545594E-3</v>
      </c>
      <c r="G102" s="63">
        <f t="shared" si="21"/>
        <v>-8.3517383280520396E-4</v>
      </c>
      <c r="H102" s="63">
        <f t="shared" si="21"/>
        <v>-1.0819369674612286E-4</v>
      </c>
      <c r="I102" s="63">
        <f t="shared" si="21"/>
        <v>-1.2237081007525463E-4</v>
      </c>
      <c r="J102" s="63">
        <f t="shared" si="21"/>
        <v>-6.6978568893515203E-5</v>
      </c>
      <c r="K102" s="63">
        <f t="shared" si="21"/>
        <v>-1.8409316967712218E-4</v>
      </c>
      <c r="L102" s="63">
        <f t="shared" si="21"/>
        <v>-1.6700442053113826E-4</v>
      </c>
      <c r="M102" s="63">
        <f t="shared" si="21"/>
        <v>-9.0962643034080777E-4</v>
      </c>
      <c r="N102" s="63">
        <f t="shared" si="21"/>
        <v>-1.0743820925594932E-4</v>
      </c>
      <c r="O102" s="63">
        <f t="shared" si="21"/>
        <v>-1.9994963112384168E-4</v>
      </c>
      <c r="P102" s="63">
        <f t="shared" si="21"/>
        <v>-3.1518728096453151E-4</v>
      </c>
      <c r="Q102" s="63">
        <f t="shared" si="21"/>
        <v>-4.811712730332828E-5</v>
      </c>
      <c r="R102" s="63">
        <f t="shared" si="21"/>
        <v>0.97559712415346034</v>
      </c>
      <c r="S102" s="63">
        <f t="shared" si="21"/>
        <v>-1.8815978545964301E-3</v>
      </c>
      <c r="T102" s="63">
        <f t="shared" si="21"/>
        <v>-9.5306661181391198E-5</v>
      </c>
      <c r="U102" s="63">
        <f t="shared" si="21"/>
        <v>-4.3528293247066556E-3</v>
      </c>
      <c r="V102" s="63">
        <f t="shared" si="21"/>
        <v>-6.8244144703395685E-3</v>
      </c>
      <c r="W102" s="63">
        <f t="shared" si="21"/>
        <v>-2.1834974392408368E-3</v>
      </c>
      <c r="X102" s="63">
        <f t="shared" si="21"/>
        <v>-8.616448545272446E-4</v>
      </c>
      <c r="Y102" s="63">
        <f t="shared" si="21"/>
        <v>-1.1923661534297837E-2</v>
      </c>
      <c r="Z102" s="63">
        <f t="shared" si="21"/>
        <v>-2.0086227288583273E-3</v>
      </c>
      <c r="AA102" s="63">
        <f t="shared" si="21"/>
        <v>-8.7682172079172509E-4</v>
      </c>
      <c r="AB102" s="63">
        <f t="shared" si="21"/>
        <v>-3.6129541691579344E-3</v>
      </c>
      <c r="AC102" s="63">
        <f t="shared" si="21"/>
        <v>-5.3519927839373559E-3</v>
      </c>
      <c r="AD102" s="63">
        <f t="shared" si="21"/>
        <v>-6.3575214621958429E-3</v>
      </c>
      <c r="AE102" s="63">
        <f t="shared" si="21"/>
        <v>-2.8657704826588176E-3</v>
      </c>
      <c r="AF102" s="63">
        <f t="shared" si="21"/>
        <v>-1.4192770735707192E-2</v>
      </c>
      <c r="AG102" s="63">
        <f t="shared" si="21"/>
        <v>-3.4003235656433974E-3</v>
      </c>
      <c r="AH102" s="63">
        <f t="shared" si="21"/>
        <v>-1.516931391336457E-2</v>
      </c>
      <c r="AI102" s="63">
        <f t="shared" si="21"/>
        <v>-9.6545207074769449E-3</v>
      </c>
      <c r="AJ102" s="63">
        <f t="shared" si="21"/>
        <v>-2.3655571688932123E-3</v>
      </c>
      <c r="AK102" s="65">
        <f t="shared" si="14"/>
        <v>0.87492005339411949</v>
      </c>
    </row>
    <row r="103" spans="1:37" ht="13.5" customHeight="1">
      <c r="A103" s="44" t="s">
        <v>63</v>
      </c>
      <c r="B103" s="15" t="s">
        <v>64</v>
      </c>
      <c r="C103" s="63">
        <f t="shared" ref="C103:AJ103" si="22">C63-C23</f>
        <v>-3.2682099488782405E-3</v>
      </c>
      <c r="D103" s="63">
        <f t="shared" si="22"/>
        <v>-2.8565142059742834E-2</v>
      </c>
      <c r="E103" s="63">
        <f t="shared" si="22"/>
        <v>-2.9979580848581083E-2</v>
      </c>
      <c r="F103" s="63">
        <f t="shared" si="22"/>
        <v>-6.4825649023022278E-2</v>
      </c>
      <c r="G103" s="63">
        <f t="shared" si="22"/>
        <v>-3.1844505921179315E-2</v>
      </c>
      <c r="H103" s="63">
        <f t="shared" si="22"/>
        <v>-2.4669103032625766E-3</v>
      </c>
      <c r="I103" s="63">
        <f t="shared" si="22"/>
        <v>-2.369338476935141E-2</v>
      </c>
      <c r="J103" s="63">
        <f t="shared" si="22"/>
        <v>-1.6796084928466321E-2</v>
      </c>
      <c r="K103" s="63">
        <f t="shared" si="22"/>
        <v>-2.6856669232992739E-2</v>
      </c>
      <c r="L103" s="63">
        <f t="shared" si="22"/>
        <v>-2.130263635612863E-2</v>
      </c>
      <c r="M103" s="63">
        <f t="shared" si="22"/>
        <v>-4.2010168687459562E-2</v>
      </c>
      <c r="N103" s="63">
        <f t="shared" si="22"/>
        <v>-4.8513573301222274E-2</v>
      </c>
      <c r="O103" s="63">
        <f t="shared" si="22"/>
        <v>-2.7308690179007479E-2</v>
      </c>
      <c r="P103" s="63">
        <f t="shared" si="22"/>
        <v>-6.4057811801815787E-2</v>
      </c>
      <c r="Q103" s="63">
        <f t="shared" si="22"/>
        <v>-2.4604082906433237E-2</v>
      </c>
      <c r="R103" s="63">
        <f t="shared" si="22"/>
        <v>-6.4660906133305121E-2</v>
      </c>
      <c r="S103" s="63">
        <f t="shared" si="22"/>
        <v>0.87258451503734935</v>
      </c>
      <c r="T103" s="63">
        <f t="shared" si="22"/>
        <v>-2.7161343576030403E-3</v>
      </c>
      <c r="U103" s="63">
        <f t="shared" si="22"/>
        <v>-9.6515181456407351E-3</v>
      </c>
      <c r="V103" s="63">
        <f t="shared" si="22"/>
        <v>-5.5550474787744309E-4</v>
      </c>
      <c r="W103" s="63">
        <f t="shared" si="22"/>
        <v>-1.3238007465696271E-3</v>
      </c>
      <c r="X103" s="63">
        <f t="shared" si="22"/>
        <v>-3.9741831385591822E-4</v>
      </c>
      <c r="Y103" s="63">
        <f t="shared" si="22"/>
        <v>-5.3356234391523669E-4</v>
      </c>
      <c r="Z103" s="63">
        <f t="shared" si="22"/>
        <v>-1.1793663661243546E-3</v>
      </c>
      <c r="AA103" s="63">
        <f t="shared" si="22"/>
        <v>-2.2536711886677721E-4</v>
      </c>
      <c r="AB103" s="63">
        <f t="shared" si="22"/>
        <v>-2.8012102390804979E-4</v>
      </c>
      <c r="AC103" s="63">
        <f t="shared" si="22"/>
        <v>-8.7789731077740228E-4</v>
      </c>
      <c r="AD103" s="63">
        <f t="shared" si="22"/>
        <v>-7.0498320307711077E-3</v>
      </c>
      <c r="AE103" s="63">
        <f t="shared" si="22"/>
        <v>-1.1403236648314854E-3</v>
      </c>
      <c r="AF103" s="63">
        <f t="shared" si="22"/>
        <v>-1.8489559058103766E-3</v>
      </c>
      <c r="AG103" s="63">
        <f t="shared" si="22"/>
        <v>-5.0940400267846121E-3</v>
      </c>
      <c r="AH103" s="63">
        <f t="shared" si="22"/>
        <v>-1.9862252013384909E-3</v>
      </c>
      <c r="AI103" s="63">
        <f t="shared" si="22"/>
        <v>-6.7615100787541782E-4</v>
      </c>
      <c r="AJ103" s="63">
        <f t="shared" si="22"/>
        <v>-2.9721358282009872E-4</v>
      </c>
      <c r="AK103" s="65">
        <f t="shared" si="14"/>
        <v>0.31599707674113026</v>
      </c>
    </row>
    <row r="104" spans="1:37" ht="13.5" customHeight="1">
      <c r="A104" s="44" t="s">
        <v>65</v>
      </c>
      <c r="B104" s="15" t="s">
        <v>13</v>
      </c>
      <c r="C104" s="63">
        <f t="shared" ref="C104:AJ104" si="23">C64-C24</f>
        <v>-2.3868449979437156E-2</v>
      </c>
      <c r="D104" s="63">
        <f t="shared" si="23"/>
        <v>-5.8108206796947469E-2</v>
      </c>
      <c r="E104" s="63">
        <f t="shared" si="23"/>
        <v>-1.8741303384257717E-2</v>
      </c>
      <c r="F104" s="63">
        <f t="shared" si="23"/>
        <v>-2.1129987386286225E-2</v>
      </c>
      <c r="G104" s="63">
        <f t="shared" si="23"/>
        <v>-4.6201026637907067E-2</v>
      </c>
      <c r="H104" s="63">
        <f t="shared" si="23"/>
        <v>-2.660515455998853E-2</v>
      </c>
      <c r="I104" s="63">
        <f t="shared" si="23"/>
        <v>-3.6226501453257863E-2</v>
      </c>
      <c r="J104" s="63">
        <f t="shared" si="23"/>
        <v>-0.19999279457993852</v>
      </c>
      <c r="K104" s="63">
        <f t="shared" si="23"/>
        <v>-4.9391664248685414E-2</v>
      </c>
      <c r="L104" s="63">
        <f t="shared" si="23"/>
        <v>-7.1460544330189502E-2</v>
      </c>
      <c r="M104" s="63">
        <f t="shared" si="23"/>
        <v>-1.3754015900799135E-2</v>
      </c>
      <c r="N104" s="63">
        <f t="shared" si="23"/>
        <v>-3.3673092182415043E-2</v>
      </c>
      <c r="O104" s="63">
        <f t="shared" si="23"/>
        <v>-1.0216539337751332E-2</v>
      </c>
      <c r="P104" s="63">
        <f t="shared" si="23"/>
        <v>-1.1545762649032698E-2</v>
      </c>
      <c r="Q104" s="63">
        <f t="shared" si="23"/>
        <v>-1.4682436258725052E-2</v>
      </c>
      <c r="R104" s="63">
        <f t="shared" si="23"/>
        <v>-6.8332640656451078E-3</v>
      </c>
      <c r="S104" s="63">
        <f t="shared" si="23"/>
        <v>-8.3709581280610075E-3</v>
      </c>
      <c r="T104" s="63">
        <f t="shared" si="23"/>
        <v>0.8300173788294738</v>
      </c>
      <c r="U104" s="63">
        <f t="shared" si="23"/>
        <v>-2.1758644102182301E-2</v>
      </c>
      <c r="V104" s="63">
        <f t="shared" si="23"/>
        <v>-2.1879170221097903E-3</v>
      </c>
      <c r="W104" s="63">
        <f t="shared" si="23"/>
        <v>-9.4560910935684948E-3</v>
      </c>
      <c r="X104" s="63">
        <f t="shared" si="23"/>
        <v>-1.6723149280232105E-2</v>
      </c>
      <c r="Y104" s="63">
        <f t="shared" si="23"/>
        <v>-6.2370750458876044E-3</v>
      </c>
      <c r="Z104" s="63">
        <f t="shared" si="23"/>
        <v>-5.5295805000995478E-3</v>
      </c>
      <c r="AA104" s="63">
        <f t="shared" si="23"/>
        <v>-4.3495373303591416E-3</v>
      </c>
      <c r="AB104" s="63">
        <f t="shared" si="23"/>
        <v>-7.7981403311925979E-3</v>
      </c>
      <c r="AC104" s="63">
        <f t="shared" si="23"/>
        <v>-1.9457265340768009E-2</v>
      </c>
      <c r="AD104" s="63">
        <f t="shared" si="23"/>
        <v>-3.3086122719608343E-3</v>
      </c>
      <c r="AE104" s="63">
        <f t="shared" si="23"/>
        <v>-4.8002462770120029E-3</v>
      </c>
      <c r="AF104" s="63">
        <f t="shared" si="23"/>
        <v>-2.2455970735639808E-2</v>
      </c>
      <c r="AG104" s="63">
        <f t="shared" si="23"/>
        <v>-8.9184224099376729E-3</v>
      </c>
      <c r="AH104" s="63">
        <f t="shared" si="23"/>
        <v>-1.4231223970206529E-2</v>
      </c>
      <c r="AI104" s="63">
        <f t="shared" si="23"/>
        <v>-9.5264081429297012E-3</v>
      </c>
      <c r="AJ104" s="63">
        <f t="shared" si="23"/>
        <v>-5.0259374628358513E-4</v>
      </c>
      <c r="AK104" s="65">
        <f t="shared" si="14"/>
        <v>2.1974799349779202E-2</v>
      </c>
    </row>
    <row r="105" spans="1:37" ht="13.5" customHeight="1">
      <c r="A105" s="44" t="s">
        <v>66</v>
      </c>
      <c r="B105" s="15" t="s">
        <v>67</v>
      </c>
      <c r="C105" s="63">
        <f t="shared" ref="C105:AJ105" si="24">C65-C25</f>
        <v>-1.1982761424494542E-3</v>
      </c>
      <c r="D105" s="63">
        <f t="shared" si="24"/>
        <v>-2.7298855160245838E-3</v>
      </c>
      <c r="E105" s="63">
        <f t="shared" si="24"/>
        <v>-4.520081409054401E-3</v>
      </c>
      <c r="F105" s="63">
        <f t="shared" si="24"/>
        <v>-5.4905672516702003E-3</v>
      </c>
      <c r="G105" s="63">
        <f t="shared" si="24"/>
        <v>-1.0264647381938372E-2</v>
      </c>
      <c r="H105" s="63">
        <f t="shared" si="24"/>
        <v>-7.3610000411977673E-4</v>
      </c>
      <c r="I105" s="63">
        <f t="shared" si="24"/>
        <v>-1.3044602167528181E-2</v>
      </c>
      <c r="J105" s="63">
        <f t="shared" si="24"/>
        <v>-9.8649313262119849E-3</v>
      </c>
      <c r="K105" s="63">
        <f t="shared" si="24"/>
        <v>-1.253999702995566E-2</v>
      </c>
      <c r="L105" s="63">
        <f t="shared" si="24"/>
        <v>-2.7021073448218979E-2</v>
      </c>
      <c r="M105" s="63">
        <f t="shared" si="24"/>
        <v>-6.6244232066296101E-3</v>
      </c>
      <c r="N105" s="63">
        <f t="shared" si="24"/>
        <v>-7.3200566180601741E-4</v>
      </c>
      <c r="O105" s="63">
        <f t="shared" si="24"/>
        <v>-1.625917788169707E-3</v>
      </c>
      <c r="P105" s="63">
        <f t="shared" si="24"/>
        <v>-3.9989945621702709E-3</v>
      </c>
      <c r="Q105" s="63">
        <f t="shared" si="24"/>
        <v>-1.3614548666373543E-3</v>
      </c>
      <c r="R105" s="63">
        <f t="shared" si="24"/>
        <v>-1.901167418234616E-3</v>
      </c>
      <c r="S105" s="63">
        <f t="shared" si="24"/>
        <v>-2.633770065380678E-3</v>
      </c>
      <c r="T105" s="63">
        <f t="shared" si="24"/>
        <v>-2.1840560447471897E-3</v>
      </c>
      <c r="U105" s="63">
        <f t="shared" si="24"/>
        <v>0.94662568643953848</v>
      </c>
      <c r="V105" s="63">
        <f t="shared" si="24"/>
        <v>-9.9613924273273696E-4</v>
      </c>
      <c r="W105" s="63">
        <f t="shared" si="24"/>
        <v>-4.1162840586779742E-4</v>
      </c>
      <c r="X105" s="63">
        <f t="shared" si="24"/>
        <v>-2.0871886371714365E-3</v>
      </c>
      <c r="Y105" s="63">
        <f t="shared" si="24"/>
        <v>-1.2771500801007245E-2</v>
      </c>
      <c r="Z105" s="63">
        <f t="shared" si="24"/>
        <v>-1.6438770920670254E-3</v>
      </c>
      <c r="AA105" s="63">
        <f t="shared" si="24"/>
        <v>-1.3021774221316702E-3</v>
      </c>
      <c r="AB105" s="63">
        <f t="shared" si="24"/>
        <v>-9.4258443549066848E-3</v>
      </c>
      <c r="AC105" s="63">
        <f t="shared" si="24"/>
        <v>-2.8228144443604775E-3</v>
      </c>
      <c r="AD105" s="63">
        <f t="shared" si="24"/>
        <v>-3.1290971421462969E-3</v>
      </c>
      <c r="AE105" s="63">
        <f t="shared" si="24"/>
        <v>-4.9464382007929093E-3</v>
      </c>
      <c r="AF105" s="63">
        <f t="shared" si="24"/>
        <v>-8.9195603623107647E-3</v>
      </c>
      <c r="AG105" s="63">
        <f t="shared" si="24"/>
        <v>-8.9531609826481312E-3</v>
      </c>
      <c r="AH105" s="63">
        <f t="shared" si="24"/>
        <v>-6.4861976050028204E-3</v>
      </c>
      <c r="AI105" s="63">
        <f t="shared" si="24"/>
        <v>-7.664989197625518E-3</v>
      </c>
      <c r="AJ105" s="63">
        <f t="shared" si="24"/>
        <v>-1.6402524403087754E-3</v>
      </c>
      <c r="AK105" s="65">
        <f t="shared" si="14"/>
        <v>0.76495286881751134</v>
      </c>
    </row>
    <row r="106" spans="1:37" ht="13.5" customHeight="1">
      <c r="A106" s="44" t="s">
        <v>68</v>
      </c>
      <c r="B106" s="15" t="s">
        <v>14</v>
      </c>
      <c r="C106" s="63">
        <f t="shared" ref="C106:AJ106" si="25">C66-C26</f>
        <v>-1.1950358797662188E-3</v>
      </c>
      <c r="D106" s="63">
        <f t="shared" si="25"/>
        <v>-6.0995791496897553E-3</v>
      </c>
      <c r="E106" s="63">
        <f t="shared" si="25"/>
        <v>-6.3578516389256297E-4</v>
      </c>
      <c r="F106" s="63">
        <f t="shared" si="25"/>
        <v>-2.5628509952074503E-4</v>
      </c>
      <c r="G106" s="63">
        <f t="shared" si="25"/>
        <v>-9.3370156533591924E-4</v>
      </c>
      <c r="H106" s="63">
        <f t="shared" si="25"/>
        <v>-5.9631417836512781E-4</v>
      </c>
      <c r="I106" s="63">
        <f t="shared" si="25"/>
        <v>-6.3496947964975848E-4</v>
      </c>
      <c r="J106" s="63">
        <f t="shared" si="25"/>
        <v>-4.8130355835252354E-4</v>
      </c>
      <c r="K106" s="63">
        <f t="shared" si="25"/>
        <v>-6.9596150306278938E-4</v>
      </c>
      <c r="L106" s="63">
        <f t="shared" si="25"/>
        <v>-9.0195310544219712E-4</v>
      </c>
      <c r="M106" s="63">
        <f t="shared" si="25"/>
        <v>-1.0436628170121221E-3</v>
      </c>
      <c r="N106" s="63">
        <f t="shared" si="25"/>
        <v>-2.4898085821954235E-4</v>
      </c>
      <c r="O106" s="63">
        <f t="shared" si="25"/>
        <v>-6.1816400636080862E-4</v>
      </c>
      <c r="P106" s="63">
        <f t="shared" si="25"/>
        <v>-4.6621968644057385E-4</v>
      </c>
      <c r="Q106" s="63">
        <f t="shared" si="25"/>
        <v>-6.8720108825268749E-5</v>
      </c>
      <c r="R106" s="63">
        <f t="shared" si="25"/>
        <v>-5.331464113469698E-4</v>
      </c>
      <c r="S106" s="63">
        <f t="shared" si="25"/>
        <v>-2.0657567020618311E-4</v>
      </c>
      <c r="T106" s="63">
        <f t="shared" si="25"/>
        <v>-1.938583374868472E-3</v>
      </c>
      <c r="U106" s="63">
        <f t="shared" si="25"/>
        <v>-2.7804001146438362E-3</v>
      </c>
      <c r="V106" s="63">
        <f t="shared" si="25"/>
        <v>0.99993346156737417</v>
      </c>
      <c r="W106" s="63">
        <f t="shared" si="25"/>
        <v>-9.6384594816368424E-4</v>
      </c>
      <c r="X106" s="63">
        <f t="shared" si="25"/>
        <v>-6.1398564116308231E-4</v>
      </c>
      <c r="Y106" s="63">
        <f t="shared" si="25"/>
        <v>-3.853044459526916E-3</v>
      </c>
      <c r="Z106" s="63">
        <f t="shared" si="25"/>
        <v>-1.7330513879717823E-3</v>
      </c>
      <c r="AA106" s="63">
        <f t="shared" si="25"/>
        <v>-2.5614525172563653E-4</v>
      </c>
      <c r="AB106" s="63">
        <f t="shared" si="25"/>
        <v>-6.9281809685710141E-2</v>
      </c>
      <c r="AC106" s="63">
        <f t="shared" si="25"/>
        <v>-2.3541858966054548E-3</v>
      </c>
      <c r="AD106" s="63">
        <f t="shared" si="25"/>
        <v>-2.537652096213679E-3</v>
      </c>
      <c r="AE106" s="63">
        <f t="shared" si="25"/>
        <v>-4.1910852854071725E-3</v>
      </c>
      <c r="AF106" s="63">
        <f t="shared" si="25"/>
        <v>-1.0951541948921698E-3</v>
      </c>
      <c r="AG106" s="63">
        <f t="shared" si="25"/>
        <v>-4.4780954271102041E-4</v>
      </c>
      <c r="AH106" s="63">
        <f t="shared" si="25"/>
        <v>-2.3350626676384655E-3</v>
      </c>
      <c r="AI106" s="63">
        <f t="shared" si="25"/>
        <v>-2.0397030077714965E-3</v>
      </c>
      <c r="AJ106" s="63">
        <f t="shared" si="25"/>
        <v>-1.6115669470607231E-3</v>
      </c>
      <c r="AK106" s="65">
        <f t="shared" si="14"/>
        <v>0.88628401782381128</v>
      </c>
    </row>
    <row r="107" spans="1:37" ht="13.5" customHeight="1">
      <c r="A107" s="44" t="s">
        <v>69</v>
      </c>
      <c r="B107" s="15" t="s">
        <v>70</v>
      </c>
      <c r="C107" s="63">
        <f t="shared" ref="C107:AJ107" si="26">C67-C27</f>
        <v>-5.4111752258587976E-2</v>
      </c>
      <c r="D107" s="63">
        <f t="shared" si="26"/>
        <v>-1.7288148512080038E-2</v>
      </c>
      <c r="E107" s="63">
        <f t="shared" si="26"/>
        <v>-7.320260986399596E-2</v>
      </c>
      <c r="F107" s="63">
        <f t="shared" si="26"/>
        <v>-8.6265313644016642E-2</v>
      </c>
      <c r="G107" s="63">
        <f t="shared" si="26"/>
        <v>-6.1295818028864787E-2</v>
      </c>
      <c r="H107" s="63">
        <f t="shared" si="26"/>
        <v>-1.0699871228941634E-2</v>
      </c>
      <c r="I107" s="63">
        <f t="shared" si="26"/>
        <v>-4.1173908604309445E-2</v>
      </c>
      <c r="J107" s="63">
        <f t="shared" si="26"/>
        <v>-2.969598952233389E-2</v>
      </c>
      <c r="K107" s="63">
        <f t="shared" si="26"/>
        <v>-4.2188814863379928E-2</v>
      </c>
      <c r="L107" s="63">
        <f t="shared" si="26"/>
        <v>-2.258478924071311E-2</v>
      </c>
      <c r="M107" s="63">
        <f t="shared" si="26"/>
        <v>-3.3329968178005369E-2</v>
      </c>
      <c r="N107" s="63">
        <f t="shared" si="26"/>
        <v>-3.7398584005676291E-2</v>
      </c>
      <c r="O107" s="63">
        <f t="shared" si="26"/>
        <v>-4.2294932976382357E-2</v>
      </c>
      <c r="P107" s="63">
        <f t="shared" si="26"/>
        <v>-3.9625616469676772E-2</v>
      </c>
      <c r="Q107" s="63">
        <f t="shared" si="26"/>
        <v>-4.0966246493685327E-2</v>
      </c>
      <c r="R107" s="63">
        <f t="shared" si="26"/>
        <v>-8.566078005908731E-2</v>
      </c>
      <c r="S107" s="63">
        <f t="shared" si="26"/>
        <v>-2.4326477779970105E-2</v>
      </c>
      <c r="T107" s="63">
        <f t="shared" si="26"/>
        <v>-2.2996054821108818E-2</v>
      </c>
      <c r="U107" s="63">
        <f t="shared" si="26"/>
        <v>-2.4789743874377917E-2</v>
      </c>
      <c r="V107" s="63">
        <f t="shared" si="26"/>
        <v>-3.5911322712599156E-2</v>
      </c>
      <c r="W107" s="63">
        <f t="shared" si="26"/>
        <v>0.95502848313406541</v>
      </c>
      <c r="X107" s="63">
        <f t="shared" si="26"/>
        <v>-1.4851840856863811E-2</v>
      </c>
      <c r="Y107" s="63">
        <f t="shared" si="26"/>
        <v>-7.6439580497361964E-2</v>
      </c>
      <c r="Z107" s="63">
        <f t="shared" si="26"/>
        <v>-4.0710848912224526E-2</v>
      </c>
      <c r="AA107" s="63">
        <f t="shared" si="26"/>
        <v>-2.3028434560770582E-3</v>
      </c>
      <c r="AB107" s="63">
        <f t="shared" si="26"/>
        <v>-2.8358077976414551E-3</v>
      </c>
      <c r="AC107" s="63">
        <f t="shared" si="26"/>
        <v>-1.9057316350710899E-2</v>
      </c>
      <c r="AD107" s="63">
        <f t="shared" si="26"/>
        <v>-1.7735964551437108E-2</v>
      </c>
      <c r="AE107" s="63">
        <f t="shared" si="26"/>
        <v>-1.1022955968016473E-2</v>
      </c>
      <c r="AF107" s="63">
        <f t="shared" si="26"/>
        <v>-1.6326204322812853E-2</v>
      </c>
      <c r="AG107" s="63">
        <f t="shared" si="26"/>
        <v>-6.1649919393780374E-2</v>
      </c>
      <c r="AH107" s="63">
        <f t="shared" si="26"/>
        <v>-2.9102240892007539E-2</v>
      </c>
      <c r="AI107" s="63">
        <f t="shared" si="26"/>
        <v>-4.383461959581797E-2</v>
      </c>
      <c r="AJ107" s="63">
        <f t="shared" si="26"/>
        <v>-8.6626205512833863E-3</v>
      </c>
      <c r="AK107" s="65">
        <f t="shared" si="14"/>
        <v>-0.21531102314976266</v>
      </c>
    </row>
    <row r="108" spans="1:37" ht="13.5" customHeight="1">
      <c r="A108" s="44" t="s">
        <v>71</v>
      </c>
      <c r="B108" s="15" t="s">
        <v>42</v>
      </c>
      <c r="C108" s="63">
        <f t="shared" ref="C108:AJ108" si="27">C68-C28</f>
        <v>-1.965062704685875E-2</v>
      </c>
      <c r="D108" s="63">
        <f t="shared" si="27"/>
        <v>-0.14819349014014013</v>
      </c>
      <c r="E108" s="63">
        <f t="shared" si="27"/>
        <v>-3.4396238338732468E-2</v>
      </c>
      <c r="F108" s="63">
        <f t="shared" si="27"/>
        <v>-3.7639018025988714E-2</v>
      </c>
      <c r="G108" s="63">
        <f t="shared" si="27"/>
        <v>-4.2040153541162403E-2</v>
      </c>
      <c r="H108" s="63">
        <f t="shared" si="27"/>
        <v>-9.5684618256809302E-3</v>
      </c>
      <c r="I108" s="63">
        <f t="shared" si="27"/>
        <v>-3.0660345166711799E-2</v>
      </c>
      <c r="J108" s="63">
        <f t="shared" si="27"/>
        <v>-2.2817631676715428E-2</v>
      </c>
      <c r="K108" s="63">
        <f t="shared" si="27"/>
        <v>-0.11276541820136665</v>
      </c>
      <c r="L108" s="63">
        <f t="shared" si="27"/>
        <v>-2.7534952845430571E-2</v>
      </c>
      <c r="M108" s="63">
        <f t="shared" si="27"/>
        <v>-2.7462624215134381E-2</v>
      </c>
      <c r="N108" s="63">
        <f t="shared" si="27"/>
        <v>-1.2981637503019198E-2</v>
      </c>
      <c r="O108" s="63">
        <f t="shared" si="27"/>
        <v>-1.6098926431635335E-2</v>
      </c>
      <c r="P108" s="63">
        <f t="shared" si="27"/>
        <v>-2.2015887105956391E-2</v>
      </c>
      <c r="Q108" s="63">
        <f t="shared" si="27"/>
        <v>-1.1150291480132342E-2</v>
      </c>
      <c r="R108" s="63">
        <f t="shared" si="27"/>
        <v>-3.653346828238372E-2</v>
      </c>
      <c r="S108" s="63">
        <f t="shared" si="27"/>
        <v>-1.552695545457081E-2</v>
      </c>
      <c r="T108" s="63">
        <f t="shared" si="27"/>
        <v>-4.6001286930012633E-3</v>
      </c>
      <c r="U108" s="63">
        <f t="shared" si="27"/>
        <v>-7.0947357138995124E-2</v>
      </c>
      <c r="V108" s="63">
        <f t="shared" si="27"/>
        <v>-1.0180426942806889E-2</v>
      </c>
      <c r="W108" s="63">
        <f t="shared" si="27"/>
        <v>-7.5764280599673731E-2</v>
      </c>
      <c r="X108" s="63">
        <f t="shared" si="27"/>
        <v>0.92660042895501549</v>
      </c>
      <c r="Y108" s="63">
        <f t="shared" si="27"/>
        <v>-1.5308291917372331E-2</v>
      </c>
      <c r="Z108" s="63">
        <f t="shared" si="27"/>
        <v>-7.7001067741604085E-3</v>
      </c>
      <c r="AA108" s="63">
        <f t="shared" si="27"/>
        <v>-2.9810492263759557E-3</v>
      </c>
      <c r="AB108" s="63">
        <f t="shared" si="27"/>
        <v>-2.669795437740919E-3</v>
      </c>
      <c r="AC108" s="63">
        <f t="shared" si="27"/>
        <v>-1.2618348465383412E-2</v>
      </c>
      <c r="AD108" s="63">
        <f t="shared" si="27"/>
        <v>-1.6102193931831481E-2</v>
      </c>
      <c r="AE108" s="63">
        <f t="shared" si="27"/>
        <v>-1.1922205141758352E-2</v>
      </c>
      <c r="AF108" s="63">
        <f t="shared" si="27"/>
        <v>-4.9203053976047285E-3</v>
      </c>
      <c r="AG108" s="63">
        <f t="shared" si="27"/>
        <v>-7.4393705244684416E-3</v>
      </c>
      <c r="AH108" s="63">
        <f t="shared" si="27"/>
        <v>-6.7750665569366502E-3</v>
      </c>
      <c r="AI108" s="63">
        <f t="shared" si="27"/>
        <v>-1.4465518829232043E-2</v>
      </c>
      <c r="AJ108" s="63">
        <f t="shared" si="27"/>
        <v>-3.8707487451590743E-2</v>
      </c>
      <c r="AK108" s="65">
        <f t="shared" si="14"/>
        <v>-3.5376313555369882E-3</v>
      </c>
    </row>
    <row r="109" spans="1:37" ht="13.5" customHeight="1">
      <c r="A109" s="44" t="s">
        <v>72</v>
      </c>
      <c r="B109" s="15" t="s">
        <v>15</v>
      </c>
      <c r="C109" s="63">
        <f t="shared" ref="C109:AJ109" si="28">C69-C29</f>
        <v>-5.7257736798835678E-3</v>
      </c>
      <c r="D109" s="63">
        <f t="shared" si="28"/>
        <v>-2.1578317263348436E-2</v>
      </c>
      <c r="E109" s="63">
        <f t="shared" si="28"/>
        <v>-3.7740519618019021E-3</v>
      </c>
      <c r="F109" s="63">
        <f t="shared" si="28"/>
        <v>-7.6313980304430953E-3</v>
      </c>
      <c r="G109" s="63">
        <f t="shared" si="28"/>
        <v>-9.892744913360757E-3</v>
      </c>
      <c r="H109" s="63">
        <f t="shared" si="28"/>
        <v>-1.4543536836597998E-3</v>
      </c>
      <c r="I109" s="63">
        <f t="shared" si="28"/>
        <v>-4.6961423794592144E-3</v>
      </c>
      <c r="J109" s="63">
        <f t="shared" si="28"/>
        <v>-3.3525770924502591E-3</v>
      </c>
      <c r="K109" s="63">
        <f t="shared" si="28"/>
        <v>-7.4078760948497122E-3</v>
      </c>
      <c r="L109" s="63">
        <f t="shared" si="28"/>
        <v>-4.4345072321126736E-3</v>
      </c>
      <c r="M109" s="63">
        <f t="shared" si="28"/>
        <v>-8.3651940908361557E-3</v>
      </c>
      <c r="N109" s="63">
        <f t="shared" si="28"/>
        <v>-3.8148225042924787E-3</v>
      </c>
      <c r="O109" s="63">
        <f t="shared" si="28"/>
        <v>-3.5793079442375661E-3</v>
      </c>
      <c r="P109" s="63">
        <f t="shared" si="28"/>
        <v>-7.2517982514799318E-3</v>
      </c>
      <c r="Q109" s="63">
        <f t="shared" si="28"/>
        <v>-3.5287188581121691E-3</v>
      </c>
      <c r="R109" s="63">
        <f t="shared" si="28"/>
        <v>-8.3773190927396626E-3</v>
      </c>
      <c r="S109" s="63">
        <f t="shared" si="28"/>
        <v>-2.6514989829787103E-2</v>
      </c>
      <c r="T109" s="63">
        <f t="shared" si="28"/>
        <v>-2.4959981223480142E-3</v>
      </c>
      <c r="U109" s="63">
        <f t="shared" si="28"/>
        <v>-1.6247821121165042E-2</v>
      </c>
      <c r="V109" s="63">
        <f t="shared" si="28"/>
        <v>-3.163108872277325E-3</v>
      </c>
      <c r="W109" s="63">
        <f t="shared" si="28"/>
        <v>-3.990768745090402E-2</v>
      </c>
      <c r="X109" s="63">
        <f t="shared" si="28"/>
        <v>-8.5609550888555066E-3</v>
      </c>
      <c r="Y109" s="63">
        <f t="shared" si="28"/>
        <v>0.99369339652047828</v>
      </c>
      <c r="Z109" s="63">
        <f t="shared" si="28"/>
        <v>-1.4865767856765678E-2</v>
      </c>
      <c r="AA109" s="63">
        <f t="shared" si="28"/>
        <v>-1.8114126286576181E-2</v>
      </c>
      <c r="AB109" s="63">
        <f t="shared" si="28"/>
        <v>-9.6015619848501613E-3</v>
      </c>
      <c r="AC109" s="63">
        <f t="shared" si="28"/>
        <v>-3.535360989808807E-2</v>
      </c>
      <c r="AD109" s="63">
        <f t="shared" si="28"/>
        <v>-3.2212349837111465E-2</v>
      </c>
      <c r="AE109" s="63">
        <f t="shared" si="28"/>
        <v>-2.7212610594730933E-2</v>
      </c>
      <c r="AF109" s="63">
        <f t="shared" si="28"/>
        <v>-2.5639054787948375E-2</v>
      </c>
      <c r="AG109" s="63">
        <f t="shared" si="28"/>
        <v>-2.4705513480571678E-2</v>
      </c>
      <c r="AH109" s="63">
        <f t="shared" si="28"/>
        <v>-3.3814823317223595E-2</v>
      </c>
      <c r="AI109" s="63">
        <f t="shared" si="28"/>
        <v>-6.0054106541393967E-2</v>
      </c>
      <c r="AJ109" s="63">
        <f t="shared" si="28"/>
        <v>-1.3998122295421139E-3</v>
      </c>
      <c r="AK109" s="65">
        <f t="shared" si="14"/>
        <v>0.50896459614727174</v>
      </c>
    </row>
    <row r="110" spans="1:37" ht="13.5" customHeight="1">
      <c r="A110" s="44" t="s">
        <v>73</v>
      </c>
      <c r="B110" s="15" t="s">
        <v>16</v>
      </c>
      <c r="C110" s="63">
        <f t="shared" ref="C110:AJ110" si="29">C70-C30</f>
        <v>-2.3254015168128659E-3</v>
      </c>
      <c r="D110" s="63">
        <f t="shared" si="29"/>
        <v>-4.6898610876700449E-3</v>
      </c>
      <c r="E110" s="63">
        <f t="shared" si="29"/>
        <v>-1.903298361695276E-3</v>
      </c>
      <c r="F110" s="63">
        <f t="shared" si="29"/>
        <v>-2.4872667739317417E-3</v>
      </c>
      <c r="G110" s="63">
        <f t="shared" si="29"/>
        <v>-6.1238761563351439E-3</v>
      </c>
      <c r="H110" s="63">
        <f t="shared" si="29"/>
        <v>-2.4961916419097762E-3</v>
      </c>
      <c r="I110" s="63">
        <f t="shared" si="29"/>
        <v>-2.0530081377174068E-3</v>
      </c>
      <c r="J110" s="63">
        <f t="shared" si="29"/>
        <v>-1.3625763860392738E-3</v>
      </c>
      <c r="K110" s="63">
        <f t="shared" si="29"/>
        <v>-3.0838606263803052E-3</v>
      </c>
      <c r="L110" s="63">
        <f t="shared" si="29"/>
        <v>-2.723999056337478E-3</v>
      </c>
      <c r="M110" s="63">
        <f t="shared" si="29"/>
        <v>-3.8462624875448288E-3</v>
      </c>
      <c r="N110" s="63">
        <f t="shared" si="29"/>
        <v>-3.6269995021508497E-3</v>
      </c>
      <c r="O110" s="63">
        <f t="shared" si="29"/>
        <v>-2.3181815926897509E-3</v>
      </c>
      <c r="P110" s="63">
        <f t="shared" si="29"/>
        <v>-3.126043001169706E-3</v>
      </c>
      <c r="Q110" s="63">
        <f t="shared" si="29"/>
        <v>-1.925159678520046E-3</v>
      </c>
      <c r="R110" s="63">
        <f t="shared" si="29"/>
        <v>-9.1540800038862231E-3</v>
      </c>
      <c r="S110" s="63">
        <f t="shared" si="29"/>
        <v>-5.3665563731440267E-3</v>
      </c>
      <c r="T110" s="63">
        <f t="shared" si="29"/>
        <v>-1.0430791910273551E-3</v>
      </c>
      <c r="U110" s="63">
        <f t="shared" si="29"/>
        <v>-1.205138302285556E-2</v>
      </c>
      <c r="V110" s="63">
        <f t="shared" si="29"/>
        <v>-2.3130345210136752E-3</v>
      </c>
      <c r="W110" s="63">
        <f t="shared" si="29"/>
        <v>-2.5851770110597257E-2</v>
      </c>
      <c r="X110" s="63">
        <f t="shared" si="29"/>
        <v>-9.6876901414278942E-3</v>
      </c>
      <c r="Y110" s="63">
        <f t="shared" si="29"/>
        <v>-1.0513417870302064E-2</v>
      </c>
      <c r="Z110" s="63">
        <f t="shared" si="29"/>
        <v>0.87455979095313274</v>
      </c>
      <c r="AA110" s="63">
        <f t="shared" si="29"/>
        <v>-3.9147598311453091E-2</v>
      </c>
      <c r="AB110" s="63">
        <f t="shared" si="29"/>
        <v>-4.6408997290092145E-3</v>
      </c>
      <c r="AC110" s="63">
        <f t="shared" si="29"/>
        <v>-6.247500389097007E-2</v>
      </c>
      <c r="AD110" s="63">
        <f t="shared" si="29"/>
        <v>-1.8239924902167512E-2</v>
      </c>
      <c r="AE110" s="63">
        <f t="shared" si="29"/>
        <v>-1.9225180927933537E-2</v>
      </c>
      <c r="AF110" s="63">
        <f t="shared" si="29"/>
        <v>-2.7741880427018716E-2</v>
      </c>
      <c r="AG110" s="63">
        <f t="shared" si="29"/>
        <v>-6.8387121744433229E-3</v>
      </c>
      <c r="AH110" s="63">
        <f t="shared" si="29"/>
        <v>-6.056790584955609E-2</v>
      </c>
      <c r="AI110" s="63">
        <f t="shared" si="29"/>
        <v>-1.8347866298962935E-2</v>
      </c>
      <c r="AJ110" s="63">
        <f t="shared" si="29"/>
        <v>-6.6920865289935632E-3</v>
      </c>
      <c r="AK110" s="65">
        <f t="shared" si="14"/>
        <v>0.4905697346714662</v>
      </c>
    </row>
    <row r="111" spans="1:37" ht="13.5" customHeight="1">
      <c r="A111" s="44" t="s">
        <v>74</v>
      </c>
      <c r="B111" s="15" t="s">
        <v>17</v>
      </c>
      <c r="C111" s="63">
        <f t="shared" ref="C111:AJ111" si="30">C71-C31</f>
        <v>-1.548117853592214E-2</v>
      </c>
      <c r="D111" s="63">
        <f t="shared" si="30"/>
        <v>-1.1641203567681205E-2</v>
      </c>
      <c r="E111" s="63">
        <f t="shared" si="30"/>
        <v>-9.8401959549920641E-3</v>
      </c>
      <c r="F111" s="63">
        <f t="shared" si="30"/>
        <v>-1.5055370608835392E-2</v>
      </c>
      <c r="G111" s="63">
        <f t="shared" si="30"/>
        <v>-1.4781552109387884E-2</v>
      </c>
      <c r="H111" s="63">
        <f t="shared" si="30"/>
        <v>-6.5935684383553001E-3</v>
      </c>
      <c r="I111" s="63">
        <f t="shared" si="30"/>
        <v>-1.0873414008680964E-2</v>
      </c>
      <c r="J111" s="63">
        <f t="shared" si="30"/>
        <v>-8.0785761907479717E-3</v>
      </c>
      <c r="K111" s="63">
        <f t="shared" si="30"/>
        <v>-1.3118640207616645E-2</v>
      </c>
      <c r="L111" s="63">
        <f t="shared" si="30"/>
        <v>-8.7843293407214931E-3</v>
      </c>
      <c r="M111" s="63">
        <f t="shared" si="30"/>
        <v>-1.3129190196157986E-2</v>
      </c>
      <c r="N111" s="63">
        <f t="shared" si="30"/>
        <v>-9.0564625749472976E-3</v>
      </c>
      <c r="O111" s="63">
        <f t="shared" si="30"/>
        <v>-9.6566838437612736E-3</v>
      </c>
      <c r="P111" s="63">
        <f t="shared" si="30"/>
        <v>-1.395899243216803E-2</v>
      </c>
      <c r="Q111" s="63">
        <f t="shared" si="30"/>
        <v>-8.7509873732702706E-3</v>
      </c>
      <c r="R111" s="63">
        <f t="shared" si="30"/>
        <v>-1.2777513141311024E-2</v>
      </c>
      <c r="S111" s="63">
        <f t="shared" si="30"/>
        <v>-6.8812931097711524E-3</v>
      </c>
      <c r="T111" s="63">
        <f t="shared" si="30"/>
        <v>-9.839680957391541E-3</v>
      </c>
      <c r="U111" s="63">
        <f t="shared" si="30"/>
        <v>-1.6791565926665267E-2</v>
      </c>
      <c r="V111" s="63">
        <f t="shared" si="30"/>
        <v>-1.3221407461471751E-2</v>
      </c>
      <c r="W111" s="63">
        <f t="shared" si="30"/>
        <v>-2.3041750358002662E-2</v>
      </c>
      <c r="X111" s="63">
        <f t="shared" si="30"/>
        <v>-1.1870197695348075E-2</v>
      </c>
      <c r="Y111" s="63">
        <f t="shared" si="30"/>
        <v>-1.583772885988333E-2</v>
      </c>
      <c r="Z111" s="63">
        <f t="shared" si="30"/>
        <v>-1.1131647467471755E-2</v>
      </c>
      <c r="AA111" s="63">
        <f t="shared" si="30"/>
        <v>0.82944296377242288</v>
      </c>
      <c r="AB111" s="63">
        <f t="shared" si="30"/>
        <v>-7.5369718086591514E-2</v>
      </c>
      <c r="AC111" s="63">
        <f t="shared" si="30"/>
        <v>-9.5279595438073749E-3</v>
      </c>
      <c r="AD111" s="63">
        <f t="shared" si="30"/>
        <v>-1.0698418490138754E-2</v>
      </c>
      <c r="AE111" s="63">
        <f t="shared" si="30"/>
        <v>-2.0284247910558151E-2</v>
      </c>
      <c r="AF111" s="63">
        <f t="shared" si="30"/>
        <v>-1.9618003607992866E-2</v>
      </c>
      <c r="AG111" s="63">
        <f t="shared" si="30"/>
        <v>-2.0002294945193615E-2</v>
      </c>
      <c r="AH111" s="63">
        <f t="shared" si="30"/>
        <v>-1.7546586378099412E-2</v>
      </c>
      <c r="AI111" s="63">
        <f t="shared" si="30"/>
        <v>-2.1975643049032469E-2</v>
      </c>
      <c r="AJ111" s="63">
        <f t="shared" si="30"/>
        <v>0</v>
      </c>
      <c r="AK111" s="65">
        <f t="shared" si="14"/>
        <v>0.34422696140044617</v>
      </c>
    </row>
    <row r="112" spans="1:37" ht="13.5" customHeight="1">
      <c r="A112" s="44" t="s">
        <v>75</v>
      </c>
      <c r="B112" s="15" t="s">
        <v>76</v>
      </c>
      <c r="C112" s="63">
        <f t="shared" ref="C112:AJ112" si="31">C72-C32</f>
        <v>-4.8278563870755159E-4</v>
      </c>
      <c r="D112" s="63">
        <f t="shared" si="31"/>
        <v>-1.2234828352886468E-3</v>
      </c>
      <c r="E112" s="63">
        <f t="shared" si="31"/>
        <v>-1.9414956922188826E-3</v>
      </c>
      <c r="F112" s="63">
        <f t="shared" si="31"/>
        <v>-3.9577597230199607E-3</v>
      </c>
      <c r="G112" s="63">
        <f t="shared" si="31"/>
        <v>-3.4614136728357272E-3</v>
      </c>
      <c r="H112" s="63">
        <f t="shared" si="31"/>
        <v>-6.7978581646617789E-4</v>
      </c>
      <c r="I112" s="63">
        <f t="shared" si="31"/>
        <v>-1.2188034360266558E-3</v>
      </c>
      <c r="J112" s="63">
        <f t="shared" si="31"/>
        <v>-8.9020730139173347E-4</v>
      </c>
      <c r="K112" s="63">
        <f t="shared" si="31"/>
        <v>-1.3467703050024629E-3</v>
      </c>
      <c r="L112" s="63">
        <f t="shared" si="31"/>
        <v>-1.0808335579999973E-3</v>
      </c>
      <c r="M112" s="63">
        <f t="shared" si="31"/>
        <v>-1.5506371625695044E-3</v>
      </c>
      <c r="N112" s="63">
        <f t="shared" si="31"/>
        <v>-1.058675977160988E-3</v>
      </c>
      <c r="O112" s="63">
        <f t="shared" si="31"/>
        <v>-1.9112781311004007E-3</v>
      </c>
      <c r="P112" s="63">
        <f t="shared" si="31"/>
        <v>-1.1122075076777907E-3</v>
      </c>
      <c r="Q112" s="63">
        <f t="shared" si="31"/>
        <v>-8.7798481579245285E-4</v>
      </c>
      <c r="R112" s="63">
        <f t="shared" si="31"/>
        <v>-4.9809853890381214E-3</v>
      </c>
      <c r="S112" s="63">
        <f t="shared" si="31"/>
        <v>-4.6305408032660377E-3</v>
      </c>
      <c r="T112" s="63">
        <f t="shared" si="31"/>
        <v>-4.8759615714259345E-4</v>
      </c>
      <c r="U112" s="63">
        <f t="shared" si="31"/>
        <v>-1.2924896325320546E-2</v>
      </c>
      <c r="V112" s="63">
        <f t="shared" si="31"/>
        <v>-1.5564651926931181E-3</v>
      </c>
      <c r="W112" s="63">
        <f t="shared" si="31"/>
        <v>-4.8799131895500912E-2</v>
      </c>
      <c r="X112" s="63">
        <f t="shared" si="31"/>
        <v>-8.0370581649401585E-3</v>
      </c>
      <c r="Y112" s="63">
        <f t="shared" si="31"/>
        <v>-4.7777829068431088E-2</v>
      </c>
      <c r="Z112" s="63">
        <f t="shared" si="31"/>
        <v>-1.0056091030653077E-2</v>
      </c>
      <c r="AA112" s="63">
        <f t="shared" si="31"/>
        <v>-1.6377577958741577E-2</v>
      </c>
      <c r="AB112" s="63">
        <f t="shared" si="31"/>
        <v>0.97097523840151523</v>
      </c>
      <c r="AC112" s="63">
        <f t="shared" si="31"/>
        <v>-2.563039056792869E-2</v>
      </c>
      <c r="AD112" s="63">
        <f t="shared" si="31"/>
        <v>-1.4975162384760309E-2</v>
      </c>
      <c r="AE112" s="63">
        <f t="shared" si="31"/>
        <v>-2.1874433134175387E-3</v>
      </c>
      <c r="AF112" s="63">
        <f t="shared" si="31"/>
        <v>-2.5137548354030058E-2</v>
      </c>
      <c r="AG112" s="63">
        <f t="shared" si="31"/>
        <v>-1.8605432889181997E-2</v>
      </c>
      <c r="AH112" s="63">
        <f t="shared" si="31"/>
        <v>-9.733508113732265E-3</v>
      </c>
      <c r="AI112" s="63">
        <f t="shared" si="31"/>
        <v>-2.2349294483224688E-2</v>
      </c>
      <c r="AJ112" s="63">
        <f t="shared" si="31"/>
        <v>-6.6434805543232522E-4</v>
      </c>
      <c r="AK112" s="65">
        <f t="shared" si="14"/>
        <v>0.67326981668082109</v>
      </c>
    </row>
    <row r="113" spans="1:37" ht="13.5" customHeight="1">
      <c r="A113" s="44" t="s">
        <v>77</v>
      </c>
      <c r="B113" s="15" t="s">
        <v>43</v>
      </c>
      <c r="C113" s="63">
        <f t="shared" ref="C113:AJ113" si="32">C73-C33</f>
        <v>-1.6237874380119185E-2</v>
      </c>
      <c r="D113" s="63">
        <f t="shared" si="32"/>
        <v>-4.7908824339442234E-2</v>
      </c>
      <c r="E113" s="63">
        <f t="shared" si="32"/>
        <v>-5.0579099108256538E-2</v>
      </c>
      <c r="F113" s="63">
        <f t="shared" si="32"/>
        <v>-2.4803240859846556E-2</v>
      </c>
      <c r="G113" s="63">
        <f t="shared" si="32"/>
        <v>-2.8065300589206196E-2</v>
      </c>
      <c r="H113" s="63">
        <f t="shared" si="32"/>
        <v>-1.6474264484206729E-2</v>
      </c>
      <c r="I113" s="63">
        <f t="shared" si="32"/>
        <v>-4.4762052582621593E-2</v>
      </c>
      <c r="J113" s="63">
        <f t="shared" si="32"/>
        <v>-3.0187942222518742E-2</v>
      </c>
      <c r="K113" s="63">
        <f t="shared" si="32"/>
        <v>-4.11177613137323E-2</v>
      </c>
      <c r="L113" s="63">
        <f t="shared" si="32"/>
        <v>-3.2321306416467417E-2</v>
      </c>
      <c r="M113" s="63">
        <f t="shared" si="32"/>
        <v>-2.9255567234959718E-2</v>
      </c>
      <c r="N113" s="63">
        <f t="shared" si="32"/>
        <v>-2.6555798606188726E-2</v>
      </c>
      <c r="O113" s="63">
        <f t="shared" si="32"/>
        <v>-3.3824482648563539E-2</v>
      </c>
      <c r="P113" s="63">
        <f t="shared" si="32"/>
        <v>-3.5646251699336953E-2</v>
      </c>
      <c r="Q113" s="63">
        <f t="shared" si="32"/>
        <v>-2.8722246955588393E-2</v>
      </c>
      <c r="R113" s="63">
        <f t="shared" si="32"/>
        <v>-4.4657395126998269E-2</v>
      </c>
      <c r="S113" s="63">
        <f t="shared" si="32"/>
        <v>-3.9070920835558659E-2</v>
      </c>
      <c r="T113" s="63">
        <f t="shared" si="32"/>
        <v>-1.4188535246850582E-2</v>
      </c>
      <c r="U113" s="63">
        <f t="shared" si="32"/>
        <v>-6.9106117798934039E-2</v>
      </c>
      <c r="V113" s="63">
        <f t="shared" si="32"/>
        <v>-7.9499547769783643E-2</v>
      </c>
      <c r="W113" s="63">
        <f t="shared" si="32"/>
        <v>-4.8740608155382559E-2</v>
      </c>
      <c r="X113" s="63">
        <f t="shared" si="32"/>
        <v>-3.3181212882902648E-2</v>
      </c>
      <c r="Y113" s="63">
        <f t="shared" si="32"/>
        <v>-2.1330814803338316E-2</v>
      </c>
      <c r="Z113" s="63">
        <f t="shared" si="32"/>
        <v>-5.1839221112753665E-2</v>
      </c>
      <c r="AA113" s="63">
        <f t="shared" si="32"/>
        <v>-2.2819837800452252E-2</v>
      </c>
      <c r="AB113" s="63">
        <f t="shared" si="32"/>
        <v>-1.514666692017607E-2</v>
      </c>
      <c r="AC113" s="63">
        <f t="shared" si="32"/>
        <v>0.94118386587893643</v>
      </c>
      <c r="AD113" s="63">
        <f t="shared" si="32"/>
        <v>-4.3706383595712578E-2</v>
      </c>
      <c r="AE113" s="63">
        <f t="shared" si="32"/>
        <v>-1.4469095354630174E-2</v>
      </c>
      <c r="AF113" s="63">
        <f t="shared" si="32"/>
        <v>-2.8479801511214951E-2</v>
      </c>
      <c r="AG113" s="63">
        <f t="shared" si="32"/>
        <v>-6.9480887129786829E-3</v>
      </c>
      <c r="AH113" s="63">
        <f t="shared" si="32"/>
        <v>-1.8670269599739071E-2</v>
      </c>
      <c r="AI113" s="63">
        <f t="shared" si="32"/>
        <v>-2.8676761056035276E-2</v>
      </c>
      <c r="AJ113" s="63">
        <f t="shared" si="32"/>
        <v>-1.4591752641804445E-3</v>
      </c>
      <c r="AK113" s="65">
        <f t="shared" si="14"/>
        <v>-0.12726860110974017</v>
      </c>
    </row>
    <row r="114" spans="1:37" ht="13.5" customHeight="1">
      <c r="A114" s="44" t="s">
        <v>78</v>
      </c>
      <c r="B114" s="15" t="s">
        <v>18</v>
      </c>
      <c r="C114" s="63">
        <f t="shared" ref="C114:AJ114" si="33">C74-C34</f>
        <v>-2.4301565091429615E-3</v>
      </c>
      <c r="D114" s="63">
        <f t="shared" si="33"/>
        <v>-4.7530158560897325E-2</v>
      </c>
      <c r="E114" s="63">
        <f t="shared" si="33"/>
        <v>-4.5098618275851892E-3</v>
      </c>
      <c r="F114" s="63">
        <f t="shared" si="33"/>
        <v>-6.7760406313863717E-3</v>
      </c>
      <c r="G114" s="63">
        <f t="shared" si="33"/>
        <v>-1.0625052865600282E-2</v>
      </c>
      <c r="H114" s="63">
        <f t="shared" si="33"/>
        <v>-3.3000974847692578E-3</v>
      </c>
      <c r="I114" s="63">
        <f t="shared" si="33"/>
        <v>-4.2303417319003809E-3</v>
      </c>
      <c r="J114" s="63">
        <f t="shared" si="33"/>
        <v>-2.6230084709778488E-3</v>
      </c>
      <c r="K114" s="63">
        <f t="shared" si="33"/>
        <v>-6.2836033484534879E-3</v>
      </c>
      <c r="L114" s="63">
        <f t="shared" si="33"/>
        <v>-9.9687329454656356E-3</v>
      </c>
      <c r="M114" s="63">
        <f t="shared" si="33"/>
        <v>-9.462731185987611E-3</v>
      </c>
      <c r="N114" s="63">
        <f t="shared" si="33"/>
        <v>-7.4691912336149616E-3</v>
      </c>
      <c r="O114" s="63">
        <f t="shared" si="33"/>
        <v>-4.8176503878442252E-3</v>
      </c>
      <c r="P114" s="63">
        <f t="shared" si="33"/>
        <v>-4.1742393804753593E-3</v>
      </c>
      <c r="Q114" s="63">
        <f t="shared" si="33"/>
        <v>-1.134173666244887E-2</v>
      </c>
      <c r="R114" s="63">
        <f t="shared" si="33"/>
        <v>-6.8774539600208948E-3</v>
      </c>
      <c r="S114" s="63">
        <f t="shared" si="33"/>
        <v>-4.1685176901788489E-2</v>
      </c>
      <c r="T114" s="63">
        <f t="shared" si="33"/>
        <v>-8.2048513042033561E-3</v>
      </c>
      <c r="U114" s="63">
        <f t="shared" si="33"/>
        <v>-3.2657847002154593E-2</v>
      </c>
      <c r="V114" s="63">
        <f t="shared" si="33"/>
        <v>-2.786606884111471E-2</v>
      </c>
      <c r="W114" s="63">
        <f t="shared" si="33"/>
        <v>-2.3884528534525194E-2</v>
      </c>
      <c r="X114" s="63">
        <f t="shared" si="33"/>
        <v>-3.3205637055680484E-2</v>
      </c>
      <c r="Y114" s="63">
        <f t="shared" si="33"/>
        <v>-7.6899761649235187E-3</v>
      </c>
      <c r="Z114" s="63">
        <f t="shared" si="33"/>
        <v>-3.7890647100536502E-2</v>
      </c>
      <c r="AA114" s="63">
        <f t="shared" si="33"/>
        <v>-3.5383559966853148E-2</v>
      </c>
      <c r="AB114" s="63">
        <f t="shared" si="33"/>
        <v>-4.3039844802210001E-2</v>
      </c>
      <c r="AC114" s="63">
        <f t="shared" si="33"/>
        <v>-4.3380771118296288E-2</v>
      </c>
      <c r="AD114" s="63">
        <f t="shared" si="33"/>
        <v>0.92958937920139617</v>
      </c>
      <c r="AE114" s="63">
        <f t="shared" si="33"/>
        <v>-2.5164886909670933E-2</v>
      </c>
      <c r="AF114" s="63">
        <f t="shared" si="33"/>
        <v>-2.3972120280138922E-2</v>
      </c>
      <c r="AG114" s="63">
        <f t="shared" si="33"/>
        <v>-1.3761129114130393E-2</v>
      </c>
      <c r="AH114" s="63">
        <f t="shared" si="33"/>
        <v>-4.7602002076672562E-2</v>
      </c>
      <c r="AI114" s="63">
        <f t="shared" si="33"/>
        <v>-1.0778416182379154E-2</v>
      </c>
      <c r="AJ114" s="63">
        <f t="shared" si="33"/>
        <v>-1.0454268650401327E-3</v>
      </c>
      <c r="AK114" s="65">
        <f t="shared" si="14"/>
        <v>0.32995643179450701</v>
      </c>
    </row>
    <row r="115" spans="1:37" ht="13.5" customHeight="1">
      <c r="A115" s="44" t="s">
        <v>79</v>
      </c>
      <c r="B115" s="15" t="s">
        <v>80</v>
      </c>
      <c r="C115" s="63">
        <f t="shared" ref="C115:AJ115" si="34">C75-C35</f>
        <v>0</v>
      </c>
      <c r="D115" s="63">
        <f t="shared" si="34"/>
        <v>0</v>
      </c>
      <c r="E115" s="63">
        <f t="shared" si="34"/>
        <v>0</v>
      </c>
      <c r="F115" s="63">
        <f t="shared" si="34"/>
        <v>0</v>
      </c>
      <c r="G115" s="63">
        <f t="shared" si="34"/>
        <v>0</v>
      </c>
      <c r="H115" s="63">
        <f t="shared" si="34"/>
        <v>0</v>
      </c>
      <c r="I115" s="63">
        <f t="shared" si="34"/>
        <v>0</v>
      </c>
      <c r="J115" s="63">
        <f t="shared" si="34"/>
        <v>0</v>
      </c>
      <c r="K115" s="63">
        <f t="shared" si="34"/>
        <v>0</v>
      </c>
      <c r="L115" s="63">
        <f t="shared" si="34"/>
        <v>0</v>
      </c>
      <c r="M115" s="63">
        <f t="shared" si="34"/>
        <v>0</v>
      </c>
      <c r="N115" s="63">
        <f t="shared" si="34"/>
        <v>0</v>
      </c>
      <c r="O115" s="63">
        <f t="shared" si="34"/>
        <v>0</v>
      </c>
      <c r="P115" s="63">
        <f t="shared" si="34"/>
        <v>0</v>
      </c>
      <c r="Q115" s="63">
        <f t="shared" si="34"/>
        <v>0</v>
      </c>
      <c r="R115" s="63">
        <f t="shared" si="34"/>
        <v>0</v>
      </c>
      <c r="S115" s="63">
        <f t="shared" si="34"/>
        <v>0</v>
      </c>
      <c r="T115" s="63">
        <f t="shared" si="34"/>
        <v>0</v>
      </c>
      <c r="U115" s="63">
        <f t="shared" si="34"/>
        <v>0</v>
      </c>
      <c r="V115" s="63">
        <f t="shared" si="34"/>
        <v>0</v>
      </c>
      <c r="W115" s="63">
        <f t="shared" si="34"/>
        <v>0</v>
      </c>
      <c r="X115" s="63">
        <f t="shared" si="34"/>
        <v>-1.2214527450051132E-3</v>
      </c>
      <c r="Y115" s="63">
        <f t="shared" si="34"/>
        <v>0</v>
      </c>
      <c r="Z115" s="63">
        <f t="shared" si="34"/>
        <v>0</v>
      </c>
      <c r="AA115" s="63">
        <f t="shared" si="34"/>
        <v>0</v>
      </c>
      <c r="AB115" s="63">
        <f t="shared" si="34"/>
        <v>0</v>
      </c>
      <c r="AC115" s="63">
        <f t="shared" si="34"/>
        <v>0</v>
      </c>
      <c r="AD115" s="63">
        <f t="shared" si="34"/>
        <v>0</v>
      </c>
      <c r="AE115" s="63">
        <f t="shared" si="34"/>
        <v>1</v>
      </c>
      <c r="AF115" s="63">
        <f t="shared" si="34"/>
        <v>0</v>
      </c>
      <c r="AG115" s="63">
        <f t="shared" si="34"/>
        <v>0</v>
      </c>
      <c r="AH115" s="63">
        <f t="shared" si="34"/>
        <v>0</v>
      </c>
      <c r="AI115" s="63">
        <f t="shared" si="34"/>
        <v>0</v>
      </c>
      <c r="AJ115" s="63">
        <f t="shared" si="34"/>
        <v>-0.86177815396500246</v>
      </c>
      <c r="AK115" s="65">
        <f t="shared" si="14"/>
        <v>0.13700039328999247</v>
      </c>
    </row>
    <row r="116" spans="1:37" ht="13.5" customHeight="1">
      <c r="A116" s="44" t="s">
        <v>81</v>
      </c>
      <c r="B116" s="15" t="s">
        <v>19</v>
      </c>
      <c r="C116" s="63">
        <f t="shared" ref="C116:AJ116" si="35">C76-C36</f>
        <v>-4.3919060452352282E-5</v>
      </c>
      <c r="D116" s="63">
        <f t="shared" si="35"/>
        <v>-2.102655785673292E-4</v>
      </c>
      <c r="E116" s="63">
        <f t="shared" si="35"/>
        <v>-2.2927718747907185E-4</v>
      </c>
      <c r="F116" s="63">
        <f t="shared" si="35"/>
        <v>-1.5421860724178083E-4</v>
      </c>
      <c r="G116" s="63">
        <f t="shared" si="35"/>
        <v>-4.0594711179850229E-4</v>
      </c>
      <c r="H116" s="63">
        <f t="shared" si="35"/>
        <v>-1.8021332967412882E-4</v>
      </c>
      <c r="I116" s="63">
        <f t="shared" si="35"/>
        <v>-3.5930872740320464E-4</v>
      </c>
      <c r="J116" s="63">
        <f t="shared" si="35"/>
        <v>-2.7221246273156864E-4</v>
      </c>
      <c r="K116" s="63">
        <f t="shared" si="35"/>
        <v>-3.9356628900514613E-4</v>
      </c>
      <c r="L116" s="63">
        <f t="shared" si="35"/>
        <v>-4.2473880754591504E-4</v>
      </c>
      <c r="M116" s="63">
        <f t="shared" si="35"/>
        <v>-7.8494449071125417E-4</v>
      </c>
      <c r="N116" s="63">
        <f t="shared" si="35"/>
        <v>-2.6223865819757569E-4</v>
      </c>
      <c r="O116" s="63">
        <f t="shared" si="35"/>
        <v>-4.4954803725055494E-4</v>
      </c>
      <c r="P116" s="63">
        <f t="shared" si="35"/>
        <v>-5.5482601127811062E-4</v>
      </c>
      <c r="Q116" s="63">
        <f t="shared" si="35"/>
        <v>-1.9419185103079762E-4</v>
      </c>
      <c r="R116" s="63">
        <f t="shared" si="35"/>
        <v>-1.5509650965825594E-4</v>
      </c>
      <c r="S116" s="63">
        <f t="shared" si="35"/>
        <v>-2.6063533614387262E-3</v>
      </c>
      <c r="T116" s="63">
        <f t="shared" si="35"/>
        <v>-1.7028088302386359E-4</v>
      </c>
      <c r="U116" s="63">
        <f t="shared" si="35"/>
        <v>-6.0527734860769467E-4</v>
      </c>
      <c r="V116" s="63">
        <f t="shared" si="35"/>
        <v>-2.1577362970705977E-4</v>
      </c>
      <c r="W116" s="63">
        <f t="shared" si="35"/>
        <v>-2.1783850611499941E-3</v>
      </c>
      <c r="X116" s="63">
        <f t="shared" si="35"/>
        <v>-3.140018303709241E-4</v>
      </c>
      <c r="Y116" s="63">
        <f t="shared" si="35"/>
        <v>-4.1781868761604199E-4</v>
      </c>
      <c r="Z116" s="63">
        <f t="shared" si="35"/>
        <v>-6.8670666764689527E-4</v>
      </c>
      <c r="AA116" s="63">
        <f t="shared" si="35"/>
        <v>-1.4710111557135195E-3</v>
      </c>
      <c r="AB116" s="63">
        <f t="shared" si="35"/>
        <v>-6.7858159148600149E-4</v>
      </c>
      <c r="AC116" s="63">
        <f t="shared" si="35"/>
        <v>-1.184032875773246E-3</v>
      </c>
      <c r="AD116" s="63">
        <f t="shared" si="35"/>
        <v>-5.777316034133957E-4</v>
      </c>
      <c r="AE116" s="63">
        <f t="shared" si="35"/>
        <v>-2.2986275736995119E-5</v>
      </c>
      <c r="AF116" s="63">
        <f t="shared" si="35"/>
        <v>0.99950678699823348</v>
      </c>
      <c r="AG116" s="63">
        <f t="shared" si="35"/>
        <v>-1.0964119599197455E-4</v>
      </c>
      <c r="AH116" s="63">
        <f t="shared" si="35"/>
        <v>-3.2444820968405264E-4</v>
      </c>
      <c r="AI116" s="63">
        <f t="shared" si="35"/>
        <v>-1.1500106341761896E-3</v>
      </c>
      <c r="AJ116" s="63">
        <f t="shared" si="35"/>
        <v>-1.3466245441446831E-4</v>
      </c>
      <c r="AK116" s="65">
        <f t="shared" si="14"/>
        <v>0.98158457081225681</v>
      </c>
    </row>
    <row r="117" spans="1:37" ht="13.5" customHeight="1">
      <c r="A117" s="44" t="s">
        <v>82</v>
      </c>
      <c r="B117" s="15" t="s">
        <v>83</v>
      </c>
      <c r="C117" s="63">
        <f t="shared" ref="C117:AJ117" si="36">C77-C37</f>
        <v>-1.1323773001291554E-3</v>
      </c>
      <c r="D117" s="63">
        <f t="shared" si="36"/>
        <v>-2.7216250825808671E-3</v>
      </c>
      <c r="E117" s="63">
        <f t="shared" si="36"/>
        <v>-7.0408749540728773E-4</v>
      </c>
      <c r="F117" s="63">
        <f t="shared" si="36"/>
        <v>-7.7313123037115686E-4</v>
      </c>
      <c r="G117" s="63">
        <f t="shared" si="36"/>
        <v>-1.2405853707722293E-3</v>
      </c>
      <c r="H117" s="63">
        <f t="shared" si="36"/>
        <v>-1.8365686040865443E-4</v>
      </c>
      <c r="I117" s="63">
        <f t="shared" si="36"/>
        <v>-5.763410222166161E-4</v>
      </c>
      <c r="J117" s="63">
        <f t="shared" si="36"/>
        <v>-4.3686531975146347E-4</v>
      </c>
      <c r="K117" s="63">
        <f t="shared" si="36"/>
        <v>-8.3381988074020686E-4</v>
      </c>
      <c r="L117" s="63">
        <f t="shared" si="36"/>
        <v>-5.863080804667819E-4</v>
      </c>
      <c r="M117" s="63">
        <f t="shared" si="36"/>
        <v>-1.2722047976794514E-3</v>
      </c>
      <c r="N117" s="63">
        <f t="shared" si="36"/>
        <v>-4.7307832676333258E-4</v>
      </c>
      <c r="O117" s="63">
        <f t="shared" si="36"/>
        <v>-6.8670096520819109E-4</v>
      </c>
      <c r="P117" s="63">
        <f t="shared" si="36"/>
        <v>-1.1578989346931921E-3</v>
      </c>
      <c r="Q117" s="63">
        <f t="shared" si="36"/>
        <v>-8.1919246094845893E-4</v>
      </c>
      <c r="R117" s="63">
        <f t="shared" si="36"/>
        <v>-1.0588990483417751E-3</v>
      </c>
      <c r="S117" s="63">
        <f t="shared" si="36"/>
        <v>-2.1450729992985706E-3</v>
      </c>
      <c r="T117" s="63">
        <f t="shared" si="36"/>
        <v>-2.4279596093850953E-4</v>
      </c>
      <c r="U117" s="63">
        <f t="shared" si="36"/>
        <v>-3.3896249242207112E-3</v>
      </c>
      <c r="V117" s="63">
        <f t="shared" si="36"/>
        <v>-1.157406991436689E-3</v>
      </c>
      <c r="W117" s="63">
        <f t="shared" si="36"/>
        <v>-3.2674149136851004E-3</v>
      </c>
      <c r="X117" s="63">
        <f t="shared" si="36"/>
        <v>-6.7485395255556296E-4</v>
      </c>
      <c r="Y117" s="63">
        <f t="shared" si="36"/>
        <v>-2.1937570617888229E-3</v>
      </c>
      <c r="Z117" s="63">
        <f t="shared" si="36"/>
        <v>-1.3976319874974402E-3</v>
      </c>
      <c r="AA117" s="63">
        <f t="shared" si="36"/>
        <v>-1.8503598703307044E-3</v>
      </c>
      <c r="AB117" s="63">
        <f t="shared" si="36"/>
        <v>-8.2542254797722807E-4</v>
      </c>
      <c r="AC117" s="63">
        <f t="shared" si="36"/>
        <v>-2.1904502774509065E-3</v>
      </c>
      <c r="AD117" s="63">
        <f t="shared" si="36"/>
        <v>-1.8913879276082129E-3</v>
      </c>
      <c r="AE117" s="63">
        <f t="shared" si="36"/>
        <v>-3.6507991934601634E-4</v>
      </c>
      <c r="AF117" s="63">
        <f t="shared" si="36"/>
        <v>-1.9057529575626309E-3</v>
      </c>
      <c r="AG117" s="63">
        <f t="shared" si="36"/>
        <v>0.99749805160777516</v>
      </c>
      <c r="AH117" s="63">
        <f t="shared" si="36"/>
        <v>-3.1465077637047026E-3</v>
      </c>
      <c r="AI117" s="63">
        <f t="shared" si="36"/>
        <v>-2.0405731045844725E-3</v>
      </c>
      <c r="AJ117" s="63">
        <f t="shared" si="36"/>
        <v>-1.699217065318661E-4</v>
      </c>
      <c r="AK117" s="65">
        <f t="shared" si="14"/>
        <v>0.95398726456477811</v>
      </c>
    </row>
    <row r="118" spans="1:37" ht="13.5" customHeight="1">
      <c r="A118" s="44" t="s">
        <v>84</v>
      </c>
      <c r="B118" s="15" t="s">
        <v>85</v>
      </c>
      <c r="C118" s="63">
        <f t="shared" ref="C118:AJ118" si="37">C78-C38</f>
        <v>-8.8433519172749053E-4</v>
      </c>
      <c r="D118" s="63">
        <f t="shared" si="37"/>
        <v>-6.8509031188205153E-3</v>
      </c>
      <c r="E118" s="63">
        <f t="shared" si="37"/>
        <v>-7.3197752273233233E-4</v>
      </c>
      <c r="F118" s="63">
        <f t="shared" si="37"/>
        <v>-1.373828383994526E-3</v>
      </c>
      <c r="G118" s="63">
        <f t="shared" si="37"/>
        <v>-1.730724688878913E-3</v>
      </c>
      <c r="H118" s="63">
        <f t="shared" si="37"/>
        <v>-3.7232043326684941E-4</v>
      </c>
      <c r="I118" s="63">
        <f t="shared" si="37"/>
        <v>-8.7012320932709547E-4</v>
      </c>
      <c r="J118" s="63">
        <f t="shared" si="37"/>
        <v>-6.5660031634269967E-4</v>
      </c>
      <c r="K118" s="63">
        <f t="shared" si="37"/>
        <v>-1.2606752199851403E-3</v>
      </c>
      <c r="L118" s="63">
        <f t="shared" si="37"/>
        <v>-1.3534194988875196E-3</v>
      </c>
      <c r="M118" s="63">
        <f t="shared" si="37"/>
        <v>-1.8316374148827858E-3</v>
      </c>
      <c r="N118" s="63">
        <f t="shared" si="37"/>
        <v>-3.9908479405574283E-4</v>
      </c>
      <c r="O118" s="63">
        <f t="shared" si="37"/>
        <v>-7.3670863306989185E-4</v>
      </c>
      <c r="P118" s="63">
        <f t="shared" si="37"/>
        <v>-1.2102648144100764E-3</v>
      </c>
      <c r="Q118" s="63">
        <f t="shared" si="37"/>
        <v>-3.3326049322143667E-4</v>
      </c>
      <c r="R118" s="63">
        <f t="shared" si="37"/>
        <v>-1.1388831026654246E-3</v>
      </c>
      <c r="S118" s="63">
        <f t="shared" si="37"/>
        <v>-2.7876507066464328E-3</v>
      </c>
      <c r="T118" s="63">
        <f t="shared" si="37"/>
        <v>-3.6394670843914906E-4</v>
      </c>
      <c r="U118" s="63">
        <f t="shared" si="37"/>
        <v>-2.9522701728413731E-3</v>
      </c>
      <c r="V118" s="63">
        <f t="shared" si="37"/>
        <v>-7.6534099417084817E-4</v>
      </c>
      <c r="W118" s="63">
        <f t="shared" si="37"/>
        <v>-9.6332134301178722E-4</v>
      </c>
      <c r="X118" s="63">
        <f t="shared" si="37"/>
        <v>-2.8668273990903638E-3</v>
      </c>
      <c r="Y118" s="63">
        <f t="shared" si="37"/>
        <v>-6.0735920478780414E-4</v>
      </c>
      <c r="Z118" s="63">
        <f t="shared" si="37"/>
        <v>-7.765442623674435E-3</v>
      </c>
      <c r="AA118" s="63">
        <f t="shared" si="37"/>
        <v>-2.6794858773576103E-3</v>
      </c>
      <c r="AB118" s="63">
        <f t="shared" si="37"/>
        <v>-9.9020979228856844E-4</v>
      </c>
      <c r="AC118" s="63">
        <f t="shared" si="37"/>
        <v>-5.3587232625131797E-3</v>
      </c>
      <c r="AD118" s="63">
        <f t="shared" si="37"/>
        <v>-3.697418510622298E-3</v>
      </c>
      <c r="AE118" s="63">
        <f t="shared" si="37"/>
        <v>-6.8534252530276258E-4</v>
      </c>
      <c r="AF118" s="63">
        <f t="shared" si="37"/>
        <v>-7.142802670928333E-3</v>
      </c>
      <c r="AG118" s="63">
        <f t="shared" si="37"/>
        <v>-1.5470688518191707E-3</v>
      </c>
      <c r="AH118" s="63">
        <f t="shared" si="37"/>
        <v>0.96354589745115116</v>
      </c>
      <c r="AI118" s="63">
        <f t="shared" si="37"/>
        <v>-4.4267829769602651E-3</v>
      </c>
      <c r="AJ118" s="63">
        <f t="shared" si="37"/>
        <v>-3.1952452201302841E-4</v>
      </c>
      <c r="AK118" s="65">
        <f t="shared" si="14"/>
        <v>0.89589163247241532</v>
      </c>
    </row>
    <row r="119" spans="1:37" ht="13.5" customHeight="1">
      <c r="A119" s="44" t="s">
        <v>86</v>
      </c>
      <c r="B119" s="15" t="s">
        <v>87</v>
      </c>
      <c r="C119" s="63">
        <f t="shared" ref="C119:AJ119" si="38">C79-C39</f>
        <v>-1.1868812186800765E-3</v>
      </c>
      <c r="D119" s="63">
        <f t="shared" si="38"/>
        <v>-5.6715385076062637E-3</v>
      </c>
      <c r="E119" s="63">
        <f t="shared" si="38"/>
        <v>-1.5781851849019171E-3</v>
      </c>
      <c r="F119" s="63">
        <f t="shared" si="38"/>
        <v>-1.4224457286619672E-3</v>
      </c>
      <c r="G119" s="63">
        <f t="shared" si="38"/>
        <v>-1.8815065749007323E-3</v>
      </c>
      <c r="H119" s="63">
        <f t="shared" si="38"/>
        <v>-7.586755197576371E-4</v>
      </c>
      <c r="I119" s="63">
        <f t="shared" si="38"/>
        <v>-9.1691782279928926E-4</v>
      </c>
      <c r="J119" s="63">
        <f t="shared" si="38"/>
        <v>-6.2510012315751757E-4</v>
      </c>
      <c r="K119" s="63">
        <f t="shared" si="38"/>
        <v>-2.6480927931881947E-3</v>
      </c>
      <c r="L119" s="63">
        <f t="shared" si="38"/>
        <v>-1.8289610428212926E-3</v>
      </c>
      <c r="M119" s="63">
        <f t="shared" si="38"/>
        <v>-2.5313647272489025E-3</v>
      </c>
      <c r="N119" s="63">
        <f t="shared" si="38"/>
        <v>-1.0452243131266721E-3</v>
      </c>
      <c r="O119" s="63">
        <f t="shared" si="38"/>
        <v>-1.4989391792781376E-3</v>
      </c>
      <c r="P119" s="63">
        <f t="shared" si="38"/>
        <v>-1.9989824101376463E-3</v>
      </c>
      <c r="Q119" s="63">
        <f t="shared" si="38"/>
        <v>-9.6474513965032194E-4</v>
      </c>
      <c r="R119" s="63">
        <f t="shared" si="38"/>
        <v>-1.2371442907848453E-3</v>
      </c>
      <c r="S119" s="63">
        <f t="shared" si="38"/>
        <v>-6.2871749948090073E-3</v>
      </c>
      <c r="T119" s="63">
        <f t="shared" si="38"/>
        <v>-3.5892293451688701E-4</v>
      </c>
      <c r="U119" s="63">
        <f t="shared" si="38"/>
        <v>-8.5127115420409374E-3</v>
      </c>
      <c r="V119" s="63">
        <f t="shared" si="38"/>
        <v>-1.6849750646989979E-3</v>
      </c>
      <c r="W119" s="63">
        <f t="shared" si="38"/>
        <v>-7.892023709570194E-3</v>
      </c>
      <c r="X119" s="63">
        <f t="shared" si="38"/>
        <v>-1.4821295949319881E-2</v>
      </c>
      <c r="Y119" s="63">
        <f t="shared" si="38"/>
        <v>-2.7901926684921648E-3</v>
      </c>
      <c r="Z119" s="63">
        <f t="shared" si="38"/>
        <v>-3.0975917273664867E-3</v>
      </c>
      <c r="AA119" s="63">
        <f t="shared" si="38"/>
        <v>-3.8979976997286052E-3</v>
      </c>
      <c r="AB119" s="63">
        <f t="shared" si="38"/>
        <v>-1.4485317885506268E-3</v>
      </c>
      <c r="AC119" s="63">
        <f t="shared" si="38"/>
        <v>-7.0521977008640201E-3</v>
      </c>
      <c r="AD119" s="63">
        <f t="shared" si="38"/>
        <v>-9.8126991827287187E-3</v>
      </c>
      <c r="AE119" s="63">
        <f t="shared" si="38"/>
        <v>-1.6069806080797086E-3</v>
      </c>
      <c r="AF119" s="63">
        <f t="shared" si="38"/>
        <v>-8.4370575506590856E-3</v>
      </c>
      <c r="AG119" s="63">
        <f t="shared" si="38"/>
        <v>-1.9469069489890046E-3</v>
      </c>
      <c r="AH119" s="63">
        <f t="shared" si="38"/>
        <v>-7.8470810302448575E-3</v>
      </c>
      <c r="AI119" s="63">
        <f t="shared" si="38"/>
        <v>0.99295471581136863</v>
      </c>
      <c r="AJ119" s="63">
        <f t="shared" si="38"/>
        <v>-1.494036106669397E-4</v>
      </c>
      <c r="AK119" s="65">
        <f t="shared" si="14"/>
        <v>0.87751626652334103</v>
      </c>
    </row>
    <row r="120" spans="1:37" ht="13.5" customHeight="1">
      <c r="A120" s="44" t="s">
        <v>88</v>
      </c>
      <c r="B120" s="15" t="s">
        <v>89</v>
      </c>
      <c r="C120" s="63">
        <f t="shared" ref="C120:AJ120" si="39">C80-C40</f>
        <v>-3.6373838772548531E-3</v>
      </c>
      <c r="D120" s="63">
        <f t="shared" si="39"/>
        <v>-2.9968477059556034E-3</v>
      </c>
      <c r="E120" s="63">
        <f t="shared" si="39"/>
        <v>-4.5662449691245556E-4</v>
      </c>
      <c r="F120" s="63">
        <f t="shared" si="39"/>
        <v>-2.6344015874767422E-4</v>
      </c>
      <c r="G120" s="63">
        <f t="shared" si="39"/>
        <v>-1.3459327434237514E-3</v>
      </c>
      <c r="H120" s="63">
        <f t="shared" si="39"/>
        <v>-7.8010696761856614E-4</v>
      </c>
      <c r="I120" s="63">
        <f t="shared" si="39"/>
        <v>-2.1046131985444231E-3</v>
      </c>
      <c r="J120" s="63">
        <f t="shared" si="39"/>
        <v>-1.5952925134482166E-3</v>
      </c>
      <c r="K120" s="63">
        <f t="shared" si="39"/>
        <v>-4.5540286400730438E-4</v>
      </c>
      <c r="L120" s="63">
        <f t="shared" si="39"/>
        <v>-2.2186137057267883E-4</v>
      </c>
      <c r="M120" s="63">
        <f t="shared" si="39"/>
        <v>-9.6565773391565197E-4</v>
      </c>
      <c r="N120" s="63">
        <f t="shared" si="39"/>
        <v>-1.9918281047186343E-4</v>
      </c>
      <c r="O120" s="63">
        <f t="shared" si="39"/>
        <v>-3.1679819964523207E-4</v>
      </c>
      <c r="P120" s="63">
        <f t="shared" si="39"/>
        <v>-4.9242149591489264E-4</v>
      </c>
      <c r="Q120" s="63">
        <f t="shared" si="39"/>
        <v>-7.1063379110660759E-5</v>
      </c>
      <c r="R120" s="63">
        <f t="shared" si="39"/>
        <v>-6.5465998329352498E-4</v>
      </c>
      <c r="S120" s="63">
        <f t="shared" si="39"/>
        <v>-4.4787572196115172E-3</v>
      </c>
      <c r="T120" s="63">
        <f t="shared" si="39"/>
        <v>-9.3912267238401145E-4</v>
      </c>
      <c r="U120" s="63">
        <f t="shared" si="39"/>
        <v>-9.7964019252126016E-4</v>
      </c>
      <c r="V120" s="63">
        <f t="shared" si="39"/>
        <v>-9.4276415276362739E-5</v>
      </c>
      <c r="W120" s="63">
        <f t="shared" si="39"/>
        <v>-1.2412157893883031E-3</v>
      </c>
      <c r="X120" s="63">
        <f t="shared" si="39"/>
        <v>-2.4960754178675126E-4</v>
      </c>
      <c r="Y120" s="63">
        <f t="shared" si="39"/>
        <v>-1.1195257778232044E-3</v>
      </c>
      <c r="Z120" s="63">
        <f t="shared" si="39"/>
        <v>-1.9621139382731832E-3</v>
      </c>
      <c r="AA120" s="63">
        <f t="shared" si="39"/>
        <v>-2.5391093594691241E-4</v>
      </c>
      <c r="AB120" s="63">
        <f t="shared" si="39"/>
        <v>-1.9762733225079962E-3</v>
      </c>
      <c r="AC120" s="63">
        <f t="shared" si="39"/>
        <v>-6.7348643513370538E-4</v>
      </c>
      <c r="AD120" s="63">
        <f t="shared" si="39"/>
        <v>-1.2461908990471936E-3</v>
      </c>
      <c r="AE120" s="63">
        <f t="shared" si="39"/>
        <v>-2.2661426737103737E-4</v>
      </c>
      <c r="AF120" s="63">
        <f t="shared" si="39"/>
        <v>-2.3774289527098586E-4</v>
      </c>
      <c r="AG120" s="63">
        <f t="shared" si="39"/>
        <v>-1.7056762403444346E-3</v>
      </c>
      <c r="AH120" s="63">
        <f t="shared" si="39"/>
        <v>-1.5711132531823228E-3</v>
      </c>
      <c r="AI120" s="63">
        <f t="shared" si="39"/>
        <v>-6.6414122087940682E-4</v>
      </c>
      <c r="AJ120" s="63">
        <f t="shared" si="39"/>
        <v>0.978151415180881</v>
      </c>
      <c r="AK120" s="65">
        <f t="shared" si="14"/>
        <v>0.94197471666529509</v>
      </c>
    </row>
    <row r="121" spans="1:37" ht="13.5" customHeight="1">
      <c r="A121" s="46" t="s">
        <v>91</v>
      </c>
      <c r="B121" s="16" t="s">
        <v>20</v>
      </c>
      <c r="C121" s="63">
        <f t="shared" ref="C121:AJ121" si="40">C81-C41</f>
        <v>-0.49453723439178637</v>
      </c>
      <c r="D121" s="63">
        <f t="shared" si="40"/>
        <v>-0.58805068226486834</v>
      </c>
      <c r="E121" s="63">
        <f t="shared" si="40"/>
        <v>-0.62141722184241466</v>
      </c>
      <c r="F121" s="63">
        <f t="shared" si="40"/>
        <v>-0.50421418735360113</v>
      </c>
      <c r="G121" s="63">
        <f t="shared" si="40"/>
        <v>-0.59729348478361555</v>
      </c>
      <c r="H121" s="63">
        <f t="shared" si="40"/>
        <v>-0.16555524446729106</v>
      </c>
      <c r="I121" s="63">
        <f t="shared" si="40"/>
        <v>-0.49939778039122462</v>
      </c>
      <c r="J121" s="63">
        <f t="shared" si="40"/>
        <v>-0.73864135247961071</v>
      </c>
      <c r="K121" s="63">
        <f t="shared" si="40"/>
        <v>-0.65279044479916049</v>
      </c>
      <c r="L121" s="63">
        <f t="shared" si="40"/>
        <v>-0.45685335948818773</v>
      </c>
      <c r="M121" s="63">
        <f t="shared" si="40"/>
        <v>-0.60396546382173089</v>
      </c>
      <c r="N121" s="63">
        <f t="shared" si="40"/>
        <v>-0.40282857163708702</v>
      </c>
      <c r="O121" s="63">
        <f t="shared" si="40"/>
        <v>-0.54622220201874094</v>
      </c>
      <c r="P121" s="63">
        <f t="shared" si="40"/>
        <v>-0.60676983699234321</v>
      </c>
      <c r="Q121" s="63">
        <f t="shared" si="40"/>
        <v>-0.67696371707875413</v>
      </c>
      <c r="R121" s="63">
        <f t="shared" si="40"/>
        <v>-0.62083108165839873</v>
      </c>
      <c r="S121" s="63">
        <f t="shared" si="40"/>
        <v>-0.50302192199978724</v>
      </c>
      <c r="T121" s="63">
        <f t="shared" si="40"/>
        <v>-0.31775534220998586</v>
      </c>
      <c r="U121" s="63">
        <f t="shared" si="40"/>
        <v>-0.53176215614624467</v>
      </c>
      <c r="V121" s="63">
        <f t="shared" si="40"/>
        <v>-0.54676724243536534</v>
      </c>
      <c r="W121" s="63">
        <f t="shared" si="40"/>
        <v>-0.4332375377423141</v>
      </c>
      <c r="X121" s="63">
        <f t="shared" si="40"/>
        <v>-0.37578662912471361</v>
      </c>
      <c r="Y121" s="63">
        <f t="shared" si="40"/>
        <v>-0.61774602244708199</v>
      </c>
      <c r="Z121" s="63">
        <f t="shared" si="40"/>
        <v>-0.38594263307193155</v>
      </c>
      <c r="AA121" s="63">
        <f t="shared" si="40"/>
        <v>-0.33857596334170226</v>
      </c>
      <c r="AB121" s="63">
        <f t="shared" si="40"/>
        <v>-0.29236276885203</v>
      </c>
      <c r="AC121" s="63">
        <f t="shared" si="40"/>
        <v>-0.44213296737972624</v>
      </c>
      <c r="AD121" s="63">
        <f t="shared" si="40"/>
        <v>-0.35859747890520527</v>
      </c>
      <c r="AE121" s="63">
        <f t="shared" si="40"/>
        <v>-0.22635132234697633</v>
      </c>
      <c r="AF121" s="63">
        <f t="shared" si="40"/>
        <v>-0.31543942844205469</v>
      </c>
      <c r="AG121" s="63">
        <f t="shared" si="40"/>
        <v>-0.34996908048001918</v>
      </c>
      <c r="AH121" s="63">
        <f t="shared" si="40"/>
        <v>-0.40863695600810246</v>
      </c>
      <c r="AI121" s="63">
        <f t="shared" si="40"/>
        <v>-0.51336882307089915</v>
      </c>
      <c r="AJ121" s="63">
        <f t="shared" si="40"/>
        <v>-0.99872409316490429</v>
      </c>
      <c r="AK121" s="65">
        <f t="shared" si="14"/>
        <v>-16.732510232637857</v>
      </c>
    </row>
    <row r="122" spans="1:37" ht="13.5" customHeight="1">
      <c r="A122" s="1" t="s">
        <v>115</v>
      </c>
      <c r="B122" s="1" t="s">
        <v>119</v>
      </c>
      <c r="C122" s="63" t="e">
        <f>T_mat_GHG_new!C128/T_mat_GHG_new!C127</f>
        <v>#DIV/0!</v>
      </c>
      <c r="D122" s="63" t="e">
        <f>T_mat_GHG_new!D128/T_mat_GHG_new!D127</f>
        <v>#DIV/0!</v>
      </c>
      <c r="E122" s="63" t="e">
        <f>T_mat_GHG_new!E128/T_mat_GHG_new!E127</f>
        <v>#DIV/0!</v>
      </c>
      <c r="F122" s="63" t="e">
        <f>T_mat_GHG_new!F128/T_mat_GHG_new!F127</f>
        <v>#DIV/0!</v>
      </c>
      <c r="G122" s="63" t="e">
        <f>T_mat_GHG_new!G128/T_mat_GHG_new!G127</f>
        <v>#DIV/0!</v>
      </c>
      <c r="H122" s="63" t="e">
        <f>T_mat_GHG_new!H128/T_mat_GHG_new!H127</f>
        <v>#DIV/0!</v>
      </c>
      <c r="I122" s="168" t="e">
        <f>T_mat_GHG_new!I128/T_mat_GHG_new!I127</f>
        <v>#DIV/0!</v>
      </c>
      <c r="J122" s="168" t="e">
        <f>T_mat_GHG_new!J128/T_mat_GHG_new!J127</f>
        <v>#DIV/0!</v>
      </c>
      <c r="K122" s="63" t="e">
        <f>T_mat_GHG_new!K128/T_mat_GHG_new!K127</f>
        <v>#DIV/0!</v>
      </c>
      <c r="L122" s="63" t="e">
        <f>T_mat_GHG_new!L128/T_mat_GHG_new!L127</f>
        <v>#DIV/0!</v>
      </c>
      <c r="M122" s="63" t="e">
        <f>T_mat_GHG_new!M128/T_mat_GHG_new!M127</f>
        <v>#DIV/0!</v>
      </c>
      <c r="N122" s="63" t="e">
        <f>T_mat_GHG_new!N128/T_mat_GHG_new!N127</f>
        <v>#DIV/0!</v>
      </c>
      <c r="O122" s="63" t="e">
        <f>T_mat_GHG_new!O128/T_mat_GHG_new!O127</f>
        <v>#DIV/0!</v>
      </c>
      <c r="P122" s="63" t="e">
        <f>T_mat_GHG_new!P128/T_mat_GHG_new!P127</f>
        <v>#DIV/0!</v>
      </c>
      <c r="Q122" s="63" t="e">
        <f>T_mat_GHG_new!Q128/T_mat_GHG_new!Q127</f>
        <v>#DIV/0!</v>
      </c>
      <c r="R122" s="63" t="e">
        <f>T_mat_GHG_new!R128/T_mat_GHG_new!R127</f>
        <v>#DIV/0!</v>
      </c>
      <c r="S122" s="63" t="e">
        <f>T_mat_GHG_new!S128/T_mat_GHG_new!S127</f>
        <v>#DIV/0!</v>
      </c>
      <c r="T122" s="63" t="e">
        <f>T_mat_GHG_new!T128/T_mat_GHG_new!T127</f>
        <v>#DIV/0!</v>
      </c>
      <c r="U122" s="63" t="e">
        <f>T_mat_GHG_new!U128/T_mat_GHG_new!U127</f>
        <v>#DIV/0!</v>
      </c>
      <c r="V122" s="63" t="e">
        <f>T_mat_GHG_new!V128/T_mat_GHG_new!V127</f>
        <v>#DIV/0!</v>
      </c>
      <c r="W122" s="63" t="e">
        <f>T_mat_GHG_new!W128/T_mat_GHG_new!W127</f>
        <v>#DIV/0!</v>
      </c>
      <c r="X122" s="63" t="e">
        <f>T_mat_GHG_new!X128/T_mat_GHG_new!X127</f>
        <v>#DIV/0!</v>
      </c>
      <c r="Y122" s="63" t="e">
        <f>T_mat_GHG_new!Y128/T_mat_GHG_new!Y127</f>
        <v>#DIV/0!</v>
      </c>
      <c r="Z122" s="63" t="e">
        <f>T_mat_GHG_new!Z128/T_mat_GHG_new!Z127</f>
        <v>#DIV/0!</v>
      </c>
      <c r="AA122" s="63" t="e">
        <f>T_mat_GHG_new!AA128/T_mat_GHG_new!AA127</f>
        <v>#DIV/0!</v>
      </c>
      <c r="AB122" s="63" t="e">
        <f>T_mat_GHG_new!AB128/T_mat_GHG_new!AB127</f>
        <v>#DIV/0!</v>
      </c>
      <c r="AC122" s="63" t="e">
        <f>T_mat_GHG_new!AC128/T_mat_GHG_new!AC127</f>
        <v>#DIV/0!</v>
      </c>
      <c r="AD122" s="63" t="e">
        <f>T_mat_GHG_new!AD128/T_mat_GHG_new!AD127</f>
        <v>#DIV/0!</v>
      </c>
      <c r="AE122" s="63" t="e">
        <f>T_mat_GHG_new!AE128/T_mat_GHG_new!AE127</f>
        <v>#DIV/0!</v>
      </c>
      <c r="AF122" s="63" t="e">
        <f>T_mat_GHG_new!AF128/T_mat_GHG_new!AF127</f>
        <v>#DIV/0!</v>
      </c>
      <c r="AG122" s="63" t="e">
        <f>T_mat_GHG_new!AG128/T_mat_GHG_new!AG127</f>
        <v>#DIV/0!</v>
      </c>
      <c r="AH122" s="63" t="e">
        <f>T_mat_GHG_new!AH128/T_mat_GHG_new!AH127</f>
        <v>#DIV/0!</v>
      </c>
      <c r="AI122" s="63" t="e">
        <f>T_mat_GHG_new!AI128/T_mat_GHG_new!AI127</f>
        <v>#DIV/0!</v>
      </c>
      <c r="AJ122" s="63" t="e">
        <f>T_mat_GHG_new!AJ128/T_mat_GHG_new!AJ127</f>
        <v>#DIV/0!</v>
      </c>
      <c r="AK122" s="65" t="e">
        <f t="shared" si="14"/>
        <v>#DIV/0!</v>
      </c>
    </row>
    <row r="127" spans="1:37" ht="13.5" customHeight="1">
      <c r="C127" s="172" cm="1">
        <f t="array" ref="C127:AJ160">IF(_xlfn.SEQUENCE(34)=_xlfn.SEQUENCE(1,34), C42:AJ42,0)</f>
        <v>0.35384181542521381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64">
        <v>0</v>
      </c>
      <c r="J127" s="164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</row>
    <row r="128" spans="1:37" ht="13.5" customHeight="1">
      <c r="C128" s="1">
        <v>0</v>
      </c>
      <c r="D128" s="1">
        <v>0.38352471568278745</v>
      </c>
      <c r="E128" s="1">
        <v>0</v>
      </c>
      <c r="F128" s="1">
        <v>0</v>
      </c>
      <c r="G128" s="1">
        <v>0</v>
      </c>
      <c r="H128" s="1">
        <v>0</v>
      </c>
      <c r="I128" s="164">
        <v>0</v>
      </c>
      <c r="J128" s="164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</row>
    <row r="129" spans="3:36" ht="13.5" customHeight="1">
      <c r="C129" s="1">
        <v>0</v>
      </c>
      <c r="D129" s="1">
        <v>0</v>
      </c>
      <c r="E129" s="1">
        <v>1.1321859824569153E-2</v>
      </c>
      <c r="F129" s="1">
        <v>0</v>
      </c>
      <c r="G129" s="1">
        <v>0</v>
      </c>
      <c r="H129" s="1">
        <v>0</v>
      </c>
      <c r="I129" s="164">
        <v>0</v>
      </c>
      <c r="J129" s="164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</row>
    <row r="130" spans="3:36" ht="13.5" customHeight="1">
      <c r="C130" s="1">
        <v>0</v>
      </c>
      <c r="D130" s="1">
        <v>0</v>
      </c>
      <c r="E130" s="1">
        <v>0</v>
      </c>
      <c r="F130" s="1">
        <v>6.4492026570184158E-2</v>
      </c>
      <c r="G130" s="1">
        <v>0</v>
      </c>
      <c r="H130" s="1">
        <v>0</v>
      </c>
      <c r="I130" s="164">
        <v>0</v>
      </c>
      <c r="J130" s="164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</row>
    <row r="131" spans="3:36" ht="13.5" customHeight="1">
      <c r="C131" s="1">
        <v>0</v>
      </c>
      <c r="D131" s="1">
        <v>0</v>
      </c>
      <c r="E131" s="1">
        <v>0</v>
      </c>
      <c r="F131" s="1">
        <v>0</v>
      </c>
      <c r="G131" s="1">
        <v>5.0767936108755476E-2</v>
      </c>
      <c r="H131" s="1">
        <v>0</v>
      </c>
      <c r="I131" s="164">
        <v>0</v>
      </c>
      <c r="J131" s="164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</row>
    <row r="132" spans="3:36" ht="13.5" customHeight="1"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0.20548833308023901</v>
      </c>
      <c r="I132" s="164">
        <v>0</v>
      </c>
      <c r="J132" s="164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</row>
    <row r="133" spans="3:36" ht="13.5" customHeight="1"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64">
        <v>0.22485881441959099</v>
      </c>
      <c r="J133" s="164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</row>
    <row r="134" spans="3:36" ht="13.5" customHeight="1"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64">
        <v>0</v>
      </c>
      <c r="J134" s="164">
        <v>0.22485881441941002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</row>
    <row r="135" spans="3:36" ht="13.5" customHeight="1"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64">
        <v>0</v>
      </c>
      <c r="J135" s="164">
        <v>0</v>
      </c>
      <c r="K135" s="1">
        <v>0.69169897066255903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</row>
    <row r="136" spans="3:36" ht="13.5" customHeight="1"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64">
        <v>0</v>
      </c>
      <c r="J136" s="164">
        <v>0</v>
      </c>
      <c r="K136" s="1">
        <v>0</v>
      </c>
      <c r="L136" s="1">
        <v>0.53433113333010096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</row>
    <row r="137" spans="3:36" ht="13.5" customHeight="1"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64">
        <v>0</v>
      </c>
      <c r="J137" s="164">
        <v>0</v>
      </c>
      <c r="K137" s="1">
        <v>0</v>
      </c>
      <c r="L137" s="1">
        <v>0</v>
      </c>
      <c r="M137" s="1">
        <v>2.7019706383372586E-3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</row>
    <row r="138" spans="3:36" ht="13.5" customHeight="1"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64">
        <v>0</v>
      </c>
      <c r="J138" s="164">
        <v>0</v>
      </c>
      <c r="K138" s="1">
        <v>0</v>
      </c>
      <c r="L138" s="1">
        <v>0</v>
      </c>
      <c r="M138" s="1">
        <v>0</v>
      </c>
      <c r="N138" s="1">
        <v>1.1973231660233199E-2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</row>
    <row r="139" spans="3:36" ht="13.5" customHeight="1"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64">
        <v>0</v>
      </c>
      <c r="J139" s="164">
        <v>0</v>
      </c>
      <c r="K139" s="1">
        <v>0</v>
      </c>
      <c r="L139" s="1">
        <v>0</v>
      </c>
      <c r="M139" s="1">
        <v>0</v>
      </c>
      <c r="N139" s="1">
        <v>0</v>
      </c>
      <c r="O139" s="1">
        <v>7.1737987228122574E-4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</row>
    <row r="140" spans="3:36" ht="13.5" customHeight="1"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64">
        <v>0</v>
      </c>
      <c r="J140" s="164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3.7345503739572385E-2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</row>
    <row r="141" spans="3:36" ht="13.5" customHeight="1"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64">
        <v>0</v>
      </c>
      <c r="J141" s="164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7.0066451081647781E-3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</row>
    <row r="142" spans="3:36" ht="13.5" customHeight="1"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64">
        <v>0</v>
      </c>
      <c r="J142" s="164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0.12421198041207222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</row>
    <row r="143" spans="3:36" ht="13.5" customHeight="1"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64">
        <v>0</v>
      </c>
      <c r="J143" s="164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1.7030359356060433E-2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</row>
    <row r="144" spans="3:36" ht="13.5" customHeight="1"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64">
        <v>0</v>
      </c>
      <c r="J144" s="164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1.5119582883895131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</row>
    <row r="145" spans="3:36" ht="13.5" customHeight="1"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64">
        <v>0</v>
      </c>
      <c r="J145" s="164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0.43474703473909199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</row>
    <row r="146" spans="3:36" ht="13.5" customHeight="1"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64">
        <v>0</v>
      </c>
      <c r="J146" s="164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5.2975368487324093E-3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</row>
    <row r="147" spans="3:36" ht="13.5" customHeight="1"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64">
        <v>0</v>
      </c>
      <c r="J147" s="164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3.6145916759950263E-3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</row>
    <row r="148" spans="3:36" ht="13.5" customHeight="1"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64">
        <v>0</v>
      </c>
      <c r="J148" s="164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0.45729114547505445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</row>
    <row r="149" spans="3:36" ht="13.5" customHeight="1"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64">
        <v>0</v>
      </c>
      <c r="J149" s="164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1.0070202995676234E-2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</row>
    <row r="150" spans="3:36" ht="13.5" customHeight="1"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64">
        <v>0</v>
      </c>
      <c r="J150" s="164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4.6470390007868125E-4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</row>
    <row r="151" spans="3:36" ht="13.5" customHeight="1"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64">
        <v>0</v>
      </c>
      <c r="J151" s="164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5.7176864941480964E-4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</row>
    <row r="152" spans="3:36" ht="13.5" customHeight="1"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64">
        <v>0</v>
      </c>
      <c r="J152" s="164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8.6898251609538282E-4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</row>
    <row r="153" spans="3:36" ht="13.5" customHeight="1"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64">
        <v>0</v>
      </c>
      <c r="J153" s="164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5.3212024948752056E-3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</row>
    <row r="154" spans="3:36" ht="13.5" customHeight="1"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64">
        <v>0</v>
      </c>
      <c r="J154" s="164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1.0918470341367225E-3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</row>
    <row r="155" spans="3:36" ht="13.5" customHeight="1"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64">
        <v>0</v>
      </c>
      <c r="J155" s="164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2.9699788181146682E-2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</row>
    <row r="156" spans="3:36" ht="13.5" customHeight="1"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64">
        <v>0</v>
      </c>
      <c r="J156" s="164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1.4186484512484056E-2</v>
      </c>
      <c r="AG156" s="1">
        <v>0</v>
      </c>
      <c r="AH156" s="1">
        <v>0</v>
      </c>
      <c r="AI156" s="1">
        <v>0</v>
      </c>
      <c r="AJ156" s="1">
        <v>0</v>
      </c>
    </row>
    <row r="157" spans="3:36" ht="13.5" customHeight="1"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64">
        <v>0</v>
      </c>
      <c r="J157" s="164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8.2280508558531928E-3</v>
      </c>
      <c r="AH157" s="1">
        <v>0</v>
      </c>
      <c r="AI157" s="1">
        <v>0</v>
      </c>
      <c r="AJ157" s="1">
        <v>0</v>
      </c>
    </row>
    <row r="158" spans="3:36" ht="13.5" customHeight="1"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64">
        <v>0</v>
      </c>
      <c r="J158" s="164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5.7706053193781548E-3</v>
      </c>
      <c r="AI158" s="1">
        <v>0</v>
      </c>
      <c r="AJ158" s="1">
        <v>0</v>
      </c>
    </row>
    <row r="159" spans="3:36" ht="13.5" customHeight="1"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64">
        <v>0</v>
      </c>
      <c r="J159" s="164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5.1724178452630084E-3</v>
      </c>
      <c r="AJ159" s="1">
        <v>0</v>
      </c>
    </row>
    <row r="160" spans="3:36" ht="13.5" customHeight="1"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64">
        <v>0</v>
      </c>
      <c r="J160" s="164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</row>
  </sheetData>
  <mergeCells count="3">
    <mergeCell ref="A5:B6"/>
    <mergeCell ref="A45:B46"/>
    <mergeCell ref="A85:B86"/>
  </mergeCells>
  <phoneticPr fontId="19" type="noConversion"/>
  <conditionalFormatting sqref="C1:AJ1">
    <cfRule type="cellIs" dxfId="4" priority="3" operator="greaterThan">
      <formula>0.05</formula>
    </cfRule>
  </conditionalFormatting>
  <conditionalFormatting sqref="C47:AJ80">
    <cfRule type="cellIs" dxfId="3" priority="2" operator="equal">
      <formula>1</formula>
    </cfRule>
  </conditionalFormatting>
  <conditionalFormatting sqref="C87:AJ121">
    <cfRule type="cellIs" dxfId="2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A2C1-B492-4210-BF26-ED175A6A9C92}">
  <sheetPr>
    <tabColor theme="5"/>
  </sheetPr>
  <dimension ref="A1:AK124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J41" sqref="J41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3" width="20.125" style="1" bestFit="1" customWidth="1"/>
    <col min="4" max="16384" width="18.625" style="1"/>
  </cols>
  <sheetData>
    <row r="1" spans="1:37" ht="13.5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7" ht="13.5" customHeight="1"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7" ht="13.5" customHeight="1">
      <c r="B3" s="2"/>
    </row>
    <row r="4" spans="1:37" s="10" customFormat="1" ht="13.5" customHeight="1">
      <c r="A4" s="21"/>
      <c r="B4" s="15"/>
      <c r="AK4" s="1"/>
    </row>
    <row r="5" spans="1:37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34" t="s">
        <v>50</v>
      </c>
      <c r="J5" s="34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</row>
    <row r="6" spans="1:37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51" t="s">
        <v>8</v>
      </c>
      <c r="J6" s="51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</row>
    <row r="7" spans="1:37" ht="13.5" customHeight="1">
      <c r="A7" s="44" t="s">
        <v>44</v>
      </c>
      <c r="B7" s="15" t="s">
        <v>2</v>
      </c>
      <c r="C7" s="63" cm="1">
        <f t="array" ref="C7:AJ40">MINVERSE(Ad!C87:AJ120)</f>
        <v>1.1017152402346906</v>
      </c>
      <c r="D7" s="63">
        <v>7.1400431624388519E-3</v>
      </c>
      <c r="E7" s="63">
        <v>0.24192913870978419</v>
      </c>
      <c r="F7" s="63">
        <v>5.3927104203793262E-3</v>
      </c>
      <c r="G7" s="63">
        <v>1.1939414747290943E-2</v>
      </c>
      <c r="H7" s="63">
        <v>9.5788066422069053E-4</v>
      </c>
      <c r="I7" s="63">
        <v>5.9638374976595894E-3</v>
      </c>
      <c r="J7" s="63">
        <v>5.1178886172475848E-3</v>
      </c>
      <c r="K7" s="63">
        <v>4.6268496054499035E-3</v>
      </c>
      <c r="L7" s="63">
        <v>2.8378478560674757E-3</v>
      </c>
      <c r="M7" s="63">
        <v>4.4922440252251703E-3</v>
      </c>
      <c r="N7" s="63">
        <v>2.8031515834734161E-3</v>
      </c>
      <c r="O7" s="63">
        <v>3.1721929913161957E-3</v>
      </c>
      <c r="P7" s="63">
        <v>4.5202064353789227E-3</v>
      </c>
      <c r="Q7" s="63">
        <v>3.6606075244999411E-3</v>
      </c>
      <c r="R7" s="63">
        <v>5.9558996510226895E-3</v>
      </c>
      <c r="S7" s="63">
        <v>1.4739730202550911E-2</v>
      </c>
      <c r="T7" s="63">
        <v>3.4904419420053482E-3</v>
      </c>
      <c r="U7" s="63">
        <v>5.6219807698259855E-3</v>
      </c>
      <c r="V7" s="64">
        <v>4.4982921296975202E-3</v>
      </c>
      <c r="W7" s="64">
        <v>8.5530384853670094E-3</v>
      </c>
      <c r="X7" s="64">
        <v>3.1047992634078187E-3</v>
      </c>
      <c r="Y7" s="64">
        <v>0.12218179089829251</v>
      </c>
      <c r="Z7" s="64">
        <v>4.4959357014672024E-3</v>
      </c>
      <c r="AA7" s="64">
        <v>4.1188367611465129E-3</v>
      </c>
      <c r="AB7" s="64">
        <v>2.6436770350938793E-3</v>
      </c>
      <c r="AC7" s="64">
        <v>7.9360421180644097E-3</v>
      </c>
      <c r="AD7" s="64">
        <v>7.3667608429587765E-3</v>
      </c>
      <c r="AE7" s="64">
        <v>7.4497476014966126E-3</v>
      </c>
      <c r="AF7" s="64">
        <v>1.4792065971751025E-2</v>
      </c>
      <c r="AG7" s="64">
        <v>1.1940843995814878E-2</v>
      </c>
      <c r="AH7" s="64">
        <v>1.7524575965331704E-2</v>
      </c>
      <c r="AI7" s="64">
        <v>1.3905234793251342E-2</v>
      </c>
      <c r="AJ7" s="64">
        <v>1.0660381998051317E-2</v>
      </c>
      <c r="AK7" s="65">
        <f>SUM(C7:AJ7)</f>
        <v>1.6772493302017202</v>
      </c>
    </row>
    <row r="8" spans="1:37" ht="13.5" customHeight="1">
      <c r="A8" s="44" t="s">
        <v>45</v>
      </c>
      <c r="B8" s="15" t="s">
        <v>3</v>
      </c>
      <c r="C8" s="63">
        <v>5.3172657100522612E-4</v>
      </c>
      <c r="D8" s="63">
        <v>1.0012084838010737</v>
      </c>
      <c r="E8" s="63">
        <v>1.0945490090181974E-3</v>
      </c>
      <c r="F8" s="63">
        <v>4.3174489568392077E-4</v>
      </c>
      <c r="G8" s="63">
        <v>8.0438089548741365E-4</v>
      </c>
      <c r="H8" s="63">
        <v>8.6277666569038822E-4</v>
      </c>
      <c r="I8" s="63">
        <v>1.8209417723110096E-3</v>
      </c>
      <c r="J8" s="63">
        <v>8.9580001126167137E-4</v>
      </c>
      <c r="K8" s="63">
        <v>8.870012290596177E-2</v>
      </c>
      <c r="L8" s="63">
        <v>3.3310307326101588E-3</v>
      </c>
      <c r="M8" s="63">
        <v>1.6155804076008994E-3</v>
      </c>
      <c r="N8" s="63">
        <v>8.1641738456296811E-4</v>
      </c>
      <c r="O8" s="63">
        <v>1.2360955322796687E-3</v>
      </c>
      <c r="P8" s="63">
        <v>9.8911350725637733E-4</v>
      </c>
      <c r="Q8" s="63">
        <v>1.3820038717105442E-3</v>
      </c>
      <c r="R8" s="63">
        <v>1.3350832163566174E-3</v>
      </c>
      <c r="S8" s="63">
        <v>7.3071448215895245E-4</v>
      </c>
      <c r="T8" s="63">
        <v>1.0702341710942256E-3</v>
      </c>
      <c r="U8" s="63">
        <v>2.1850180369029034E-3</v>
      </c>
      <c r="V8" s="64">
        <v>8.510912756145142E-3</v>
      </c>
      <c r="W8" s="64">
        <v>2.7802379291803062E-4</v>
      </c>
      <c r="X8" s="64">
        <v>2.885494504465681E-4</v>
      </c>
      <c r="Y8" s="64">
        <v>8.7385850877660942E-4</v>
      </c>
      <c r="Z8" s="64">
        <v>2.0096360083427466E-4</v>
      </c>
      <c r="AA8" s="64">
        <v>1.1463856209474782E-4</v>
      </c>
      <c r="AB8" s="64">
        <v>7.3786313479931175E-4</v>
      </c>
      <c r="AC8" s="64">
        <v>4.0610434782088013E-4</v>
      </c>
      <c r="AD8" s="64">
        <v>5.1265773217743578E-4</v>
      </c>
      <c r="AE8" s="64">
        <v>4.269374173065828E-4</v>
      </c>
      <c r="AF8" s="64">
        <v>3.296292623274876E-4</v>
      </c>
      <c r="AG8" s="64">
        <v>4.56857228864147E-4</v>
      </c>
      <c r="AH8" s="64">
        <v>5.2398424619660359E-4</v>
      </c>
      <c r="AI8" s="64">
        <v>5.5690073578567938E-4</v>
      </c>
      <c r="AJ8" s="64">
        <v>5.6382609916634117E-4</v>
      </c>
      <c r="AK8" s="65">
        <f t="shared" ref="AK8:AK40" si="0">SUM(C8:AJ8)</f>
        <v>1.1258235247456863</v>
      </c>
    </row>
    <row r="9" spans="1:37" ht="13.5" customHeight="1">
      <c r="A9" s="44" t="s">
        <v>46</v>
      </c>
      <c r="B9" s="15" t="s">
        <v>4</v>
      </c>
      <c r="C9" s="63">
        <v>0.23333931110395748</v>
      </c>
      <c r="D9" s="63">
        <v>1.8560130778891862E-2</v>
      </c>
      <c r="E9" s="63">
        <v>1.2035499579691054</v>
      </c>
      <c r="F9" s="63">
        <v>1.2306898810799605E-2</v>
      </c>
      <c r="G9" s="63">
        <v>1.4988715770902428E-2</v>
      </c>
      <c r="H9" s="63">
        <v>2.4957247469192443E-3</v>
      </c>
      <c r="I9" s="63">
        <v>1.3179198778405368E-2</v>
      </c>
      <c r="J9" s="63">
        <v>1.3861850442086921E-2</v>
      </c>
      <c r="K9" s="63">
        <v>1.2109816754220154E-2</v>
      </c>
      <c r="L9" s="63">
        <v>7.7642726533051938E-3</v>
      </c>
      <c r="M9" s="63">
        <v>1.1380101544212085E-2</v>
      </c>
      <c r="N9" s="63">
        <v>6.7995329051888384E-3</v>
      </c>
      <c r="O9" s="63">
        <v>7.9166684924769585E-3</v>
      </c>
      <c r="P9" s="63">
        <v>1.1058784943426958E-2</v>
      </c>
      <c r="Q9" s="63">
        <v>9.0877336826482059E-3</v>
      </c>
      <c r="R9" s="63">
        <v>1.2866255716795149E-2</v>
      </c>
      <c r="S9" s="63">
        <v>2.5737456968620846E-2</v>
      </c>
      <c r="T9" s="63">
        <v>1.403750049132871E-2</v>
      </c>
      <c r="U9" s="63">
        <v>1.4877261576103874E-2</v>
      </c>
      <c r="V9" s="64">
        <v>8.8695640261975267E-3</v>
      </c>
      <c r="W9" s="64">
        <v>2.4291842219361315E-2</v>
      </c>
      <c r="X9" s="64">
        <v>8.6883633248152781E-3</v>
      </c>
      <c r="Y9" s="64">
        <v>0.30526813984961526</v>
      </c>
      <c r="Z9" s="64">
        <v>1.2560893967634525E-2</v>
      </c>
      <c r="AA9" s="64">
        <v>1.0929786625458493E-2</v>
      </c>
      <c r="AB9" s="64">
        <v>6.7206957080445037E-3</v>
      </c>
      <c r="AC9" s="64">
        <v>2.2432214041739142E-2</v>
      </c>
      <c r="AD9" s="64">
        <v>2.1389064543314573E-2</v>
      </c>
      <c r="AE9" s="64">
        <v>1.831565729220749E-2</v>
      </c>
      <c r="AF9" s="64">
        <v>3.8130696228833673E-2</v>
      </c>
      <c r="AG9" s="64">
        <v>2.7994163371757537E-2</v>
      </c>
      <c r="AH9" s="64">
        <v>6.6421224601096854E-2</v>
      </c>
      <c r="AI9" s="64">
        <v>4.0790345300252044E-2</v>
      </c>
      <c r="AJ9" s="64">
        <v>3.1341880231926904E-2</v>
      </c>
      <c r="AK9" s="65">
        <f t="shared" si="0"/>
        <v>2.2900617054616506</v>
      </c>
    </row>
    <row r="10" spans="1:37" ht="13.5" customHeight="1">
      <c r="A10" s="44" t="s">
        <v>47</v>
      </c>
      <c r="B10" s="15" t="s">
        <v>5</v>
      </c>
      <c r="C10" s="63">
        <v>1.191530301115811E-2</v>
      </c>
      <c r="D10" s="63">
        <v>9.8851919991777646E-3</v>
      </c>
      <c r="E10" s="63">
        <v>7.3981922549517815E-3</v>
      </c>
      <c r="F10" s="63">
        <v>1.1611103387608517</v>
      </c>
      <c r="G10" s="63">
        <v>1.7144715550714638E-2</v>
      </c>
      <c r="H10" s="63">
        <v>1.6491499316599045E-3</v>
      </c>
      <c r="I10" s="63">
        <v>7.31864292098185E-3</v>
      </c>
      <c r="J10" s="63">
        <v>6.0980066333781733E-3</v>
      </c>
      <c r="K10" s="63">
        <v>9.4901402668560193E-3</v>
      </c>
      <c r="L10" s="63">
        <v>4.3868188193570265E-3</v>
      </c>
      <c r="M10" s="63">
        <v>8.7393148704327361E-3</v>
      </c>
      <c r="N10" s="63">
        <v>4.776986850681406E-3</v>
      </c>
      <c r="O10" s="63">
        <v>4.8632918176266596E-3</v>
      </c>
      <c r="P10" s="63">
        <v>6.8457559832439631E-3</v>
      </c>
      <c r="Q10" s="63">
        <v>9.1443957965189702E-3</v>
      </c>
      <c r="R10" s="63">
        <v>6.4543897385707663E-2</v>
      </c>
      <c r="S10" s="63">
        <v>3.732079435632691E-2</v>
      </c>
      <c r="T10" s="63">
        <v>1.6812254534337068E-3</v>
      </c>
      <c r="U10" s="63">
        <v>1.1152236510307292E-2</v>
      </c>
      <c r="V10" s="64">
        <v>4.666745947837652E-3</v>
      </c>
      <c r="W10" s="64">
        <v>7.1576919212003225E-3</v>
      </c>
      <c r="X10" s="64">
        <v>1.2281448851629913E-2</v>
      </c>
      <c r="Y10" s="64">
        <v>1.3260542303459726E-2</v>
      </c>
      <c r="Z10" s="64">
        <v>3.997821542682886E-3</v>
      </c>
      <c r="AA10" s="64">
        <v>2.3214429253838021E-3</v>
      </c>
      <c r="AB10" s="64">
        <v>2.6359470115986097E-3</v>
      </c>
      <c r="AC10" s="64">
        <v>5.0703037510245446E-3</v>
      </c>
      <c r="AD10" s="64">
        <v>1.2574453536810845E-2</v>
      </c>
      <c r="AE10" s="64">
        <v>5.6548896374046548E-3</v>
      </c>
      <c r="AF10" s="64">
        <v>4.6852675854913905E-3</v>
      </c>
      <c r="AG10" s="64">
        <v>7.3701565759475684E-3</v>
      </c>
      <c r="AH10" s="64">
        <v>1.3881718440543075E-2</v>
      </c>
      <c r="AI10" s="64">
        <v>1.6431706880910123E-2</v>
      </c>
      <c r="AJ10" s="64">
        <v>1.0241192087396907E-2</v>
      </c>
      <c r="AK10" s="65">
        <f t="shared" si="0"/>
        <v>1.5076957281726886</v>
      </c>
    </row>
    <row r="11" spans="1:37" ht="13.5" customHeight="1">
      <c r="A11" s="44" t="s">
        <v>48</v>
      </c>
      <c r="B11" s="15" t="s">
        <v>6</v>
      </c>
      <c r="C11" s="63">
        <v>2.7062640667645736E-2</v>
      </c>
      <c r="D11" s="63">
        <v>1.0659012138447622E-2</v>
      </c>
      <c r="E11" s="63">
        <v>3.9976556178659216E-2</v>
      </c>
      <c r="F11" s="63">
        <v>1.1222242922921869E-2</v>
      </c>
      <c r="G11" s="63">
        <v>1.2881097855793406</v>
      </c>
      <c r="H11" s="63">
        <v>2.9762918946234069E-3</v>
      </c>
      <c r="I11" s="63">
        <v>1.3005061428178652E-2</v>
      </c>
      <c r="J11" s="63">
        <v>1.3141751674553713E-2</v>
      </c>
      <c r="K11" s="63">
        <v>1.8679750217948449E-2</v>
      </c>
      <c r="L11" s="63">
        <v>6.4590262385073151E-3</v>
      </c>
      <c r="M11" s="63">
        <v>1.7057868552496656E-2</v>
      </c>
      <c r="N11" s="63">
        <v>5.0371575277209151E-3</v>
      </c>
      <c r="O11" s="63">
        <v>1.0120714845087067E-2</v>
      </c>
      <c r="P11" s="63">
        <v>1.0184782591151227E-2</v>
      </c>
      <c r="Q11" s="63">
        <v>7.9287362102824464E-3</v>
      </c>
      <c r="R11" s="63">
        <v>7.2566636100961104E-2</v>
      </c>
      <c r="S11" s="63">
        <v>1.2397898475214074E-2</v>
      </c>
      <c r="T11" s="63">
        <v>7.0165708214063819E-3</v>
      </c>
      <c r="U11" s="63">
        <v>7.4084473421073349E-3</v>
      </c>
      <c r="V11" s="64">
        <v>2.7297633179754609E-2</v>
      </c>
      <c r="W11" s="64">
        <v>2.0329368598619793E-2</v>
      </c>
      <c r="X11" s="64">
        <v>1.2559273569071605E-2</v>
      </c>
      <c r="Y11" s="64">
        <v>2.7692678359124923E-2</v>
      </c>
      <c r="Z11" s="64">
        <v>1.7690799980860407E-2</v>
      </c>
      <c r="AA11" s="64">
        <v>1.3937086652478274E-2</v>
      </c>
      <c r="AB11" s="64">
        <v>6.0954576410070542E-3</v>
      </c>
      <c r="AC11" s="64">
        <v>2.5123958308010109E-2</v>
      </c>
      <c r="AD11" s="64">
        <v>1.1487582716397588E-2</v>
      </c>
      <c r="AE11" s="64">
        <v>9.085742006550079E-3</v>
      </c>
      <c r="AF11" s="64">
        <v>1.3870476716893156E-2</v>
      </c>
      <c r="AG11" s="64">
        <v>1.3126678037149413E-2</v>
      </c>
      <c r="AH11" s="64">
        <v>1.3571672977576645E-2</v>
      </c>
      <c r="AI11" s="64">
        <v>2.1194384347412953E-2</v>
      </c>
      <c r="AJ11" s="64">
        <v>1.2531124670368564E-2</v>
      </c>
      <c r="AK11" s="65">
        <f t="shared" si="0"/>
        <v>1.8266048491685289</v>
      </c>
    </row>
    <row r="12" spans="1:37" ht="13.5" customHeight="1">
      <c r="A12" s="44" t="s">
        <v>49</v>
      </c>
      <c r="B12" s="15" t="s">
        <v>7</v>
      </c>
      <c r="C12" s="63">
        <v>3.7658194126776304E-2</v>
      </c>
      <c r="D12" s="63">
        <v>4.8253164425619145E-2</v>
      </c>
      <c r="E12" s="63">
        <v>2.3259825676342789E-2</v>
      </c>
      <c r="F12" s="63">
        <v>1.988366429182515E-2</v>
      </c>
      <c r="G12" s="63">
        <v>2.4823051494346406E-2</v>
      </c>
      <c r="H12" s="63">
        <v>1.0326029335632325</v>
      </c>
      <c r="I12" s="63">
        <v>7.3941340312390566E-2</v>
      </c>
      <c r="J12" s="63">
        <v>4.3730242799852034E-2</v>
      </c>
      <c r="K12" s="63">
        <v>7.7302663494109469E-2</v>
      </c>
      <c r="L12" s="63">
        <v>1.5176484998967855E-2</v>
      </c>
      <c r="M12" s="63">
        <v>2.0333073063346779E-2</v>
      </c>
      <c r="N12" s="63">
        <v>1.0265762593654261E-2</v>
      </c>
      <c r="O12" s="63">
        <v>1.748399686987015E-2</v>
      </c>
      <c r="P12" s="63">
        <v>1.6405529752145705E-2</v>
      </c>
      <c r="Q12" s="63">
        <v>1.8610620543960048E-2</v>
      </c>
      <c r="R12" s="63">
        <v>2.2795069086057159E-2</v>
      </c>
      <c r="S12" s="63">
        <v>1.9821428528749407E-2</v>
      </c>
      <c r="T12" s="63">
        <v>2.5047425290424492E-2</v>
      </c>
      <c r="U12" s="63">
        <v>3.5401135347420926E-2</v>
      </c>
      <c r="V12" s="64">
        <v>3.2044994718092142E-2</v>
      </c>
      <c r="W12" s="64">
        <v>3.7069727462115697E-2</v>
      </c>
      <c r="X12" s="64">
        <v>8.5784979893978805E-2</v>
      </c>
      <c r="Y12" s="64">
        <v>3.0589493658934205E-2</v>
      </c>
      <c r="Z12" s="64">
        <v>9.2835961129930037E-3</v>
      </c>
      <c r="AA12" s="64">
        <v>4.6040222055226442E-3</v>
      </c>
      <c r="AB12" s="64">
        <v>9.0061119085830046E-3</v>
      </c>
      <c r="AC12" s="64">
        <v>2.2556947948021808E-2</v>
      </c>
      <c r="AD12" s="64">
        <v>1.601903027342173E-2</v>
      </c>
      <c r="AE12" s="64">
        <v>2.2529098550409278E-2</v>
      </c>
      <c r="AF12" s="64">
        <v>2.1483310975254077E-2</v>
      </c>
      <c r="AG12" s="64">
        <v>2.1106511734567412E-2</v>
      </c>
      <c r="AH12" s="64">
        <v>1.4565010138950252E-2</v>
      </c>
      <c r="AI12" s="64">
        <v>2.5236754229628556E-2</v>
      </c>
      <c r="AJ12" s="64">
        <v>2.9927586574200062E-2</v>
      </c>
      <c r="AK12" s="65">
        <f t="shared" si="0"/>
        <v>1.9646027826437635</v>
      </c>
    </row>
    <row r="13" spans="1:37" ht="13.5" customHeight="1">
      <c r="A13" s="44" t="s">
        <v>50</v>
      </c>
      <c r="B13" s="15" t="s">
        <v>8</v>
      </c>
      <c r="C13" s="63">
        <v>0.10515934542739235</v>
      </c>
      <c r="D13" s="63">
        <v>8.0530037131188156E-2</v>
      </c>
      <c r="E13" s="63">
        <v>7.3279015469692357E-2</v>
      </c>
      <c r="F13" s="63">
        <v>0.12810526753213178</v>
      </c>
      <c r="G13" s="63">
        <v>0.12117782739769614</v>
      </c>
      <c r="H13" s="63">
        <v>2.7663363114278854E-2</v>
      </c>
      <c r="I13" s="63">
        <v>1.2675097958056796</v>
      </c>
      <c r="J13" s="63">
        <v>0.16861195772627044</v>
      </c>
      <c r="K13" s="63">
        <v>7.7369562806821307E-2</v>
      </c>
      <c r="L13" s="63">
        <v>2.982510170932539E-2</v>
      </c>
      <c r="M13" s="63">
        <v>0.10543441643690556</v>
      </c>
      <c r="N13" s="63">
        <v>5.8702505134554675E-2</v>
      </c>
      <c r="O13" s="63">
        <v>0.10316436746390899</v>
      </c>
      <c r="P13" s="63">
        <v>7.21927272202494E-2</v>
      </c>
      <c r="Q13" s="63">
        <v>0.12929522844837782</v>
      </c>
      <c r="R13" s="63">
        <v>0.14704794796426485</v>
      </c>
      <c r="S13" s="63">
        <v>5.5622881625362081E-2</v>
      </c>
      <c r="T13" s="63">
        <v>3.2611022323858346E-2</v>
      </c>
      <c r="U13" s="63">
        <v>8.7320713725638127E-2</v>
      </c>
      <c r="V13" s="64">
        <v>7.7930317666220605E-2</v>
      </c>
      <c r="W13" s="64">
        <v>3.3921157366419805E-2</v>
      </c>
      <c r="X13" s="64">
        <v>2.6639262667138199E-2</v>
      </c>
      <c r="Y13" s="64">
        <v>6.5339933670275491E-2</v>
      </c>
      <c r="Z13" s="64">
        <v>2.1071226487997061E-2</v>
      </c>
      <c r="AA13" s="64">
        <v>1.0511260749302824E-2</v>
      </c>
      <c r="AB13" s="64">
        <v>1.4876155383573227E-2</v>
      </c>
      <c r="AC13" s="64">
        <v>5.554409875510527E-2</v>
      </c>
      <c r="AD13" s="64">
        <v>5.3200933053994613E-2</v>
      </c>
      <c r="AE13" s="64">
        <v>2.2624542152352836E-2</v>
      </c>
      <c r="AF13" s="64">
        <v>2.6767287272253002E-2</v>
      </c>
      <c r="AG13" s="64">
        <v>0.14764278840195905</v>
      </c>
      <c r="AH13" s="64">
        <v>3.5846084069957901E-2</v>
      </c>
      <c r="AI13" s="64">
        <v>8.5126395760765E-2</v>
      </c>
      <c r="AJ13" s="64">
        <v>3.3973794356157862E-2</v>
      </c>
      <c r="AK13" s="65">
        <f t="shared" si="0"/>
        <v>3.5816383222770694</v>
      </c>
    </row>
    <row r="14" spans="1:37" ht="13.5" customHeight="1">
      <c r="A14" s="44"/>
      <c r="B14" s="15" t="s">
        <v>144</v>
      </c>
      <c r="C14" s="63">
        <v>2.7907100452795957E-7</v>
      </c>
      <c r="D14" s="63">
        <v>2.1370994908285684E-7</v>
      </c>
      <c r="E14" s="63">
        <v>1.9446724753594785E-7</v>
      </c>
      <c r="F14" s="63">
        <v>3.3996470356692227E-7</v>
      </c>
      <c r="G14" s="63">
        <v>3.2158072001066231E-7</v>
      </c>
      <c r="H14" s="63">
        <v>7.341280512490298E-8</v>
      </c>
      <c r="I14" s="63">
        <v>7.0991684554244835E-7</v>
      </c>
      <c r="J14" s="63">
        <v>1.2820517408559187</v>
      </c>
      <c r="K14" s="63">
        <v>2.0532270835878001E-7</v>
      </c>
      <c r="L14" s="63">
        <v>7.9149609198707592E-8</v>
      </c>
      <c r="M14" s="63">
        <v>2.7980098570680191E-7</v>
      </c>
      <c r="N14" s="63">
        <v>1.557842244988013E-7</v>
      </c>
      <c r="O14" s="63">
        <v>2.7377674844432094E-7</v>
      </c>
      <c r="P14" s="63">
        <v>1.9158446472908559E-7</v>
      </c>
      <c r="Q14" s="63">
        <v>3.4312261204282748E-7</v>
      </c>
      <c r="R14" s="63">
        <v>3.902346328362852E-7</v>
      </c>
      <c r="S14" s="63">
        <v>1.4761154500193531E-7</v>
      </c>
      <c r="T14" s="63">
        <v>8.654286237343062E-8</v>
      </c>
      <c r="U14" s="63">
        <v>2.3173099068344488E-7</v>
      </c>
      <c r="V14" s="64">
        <v>2.0681083498481097E-7</v>
      </c>
      <c r="W14" s="64">
        <v>9.0019687955683343E-8</v>
      </c>
      <c r="X14" s="64">
        <v>7.0695055795449302E-8</v>
      </c>
      <c r="Y14" s="64">
        <v>1.7339857766368568E-7</v>
      </c>
      <c r="Z14" s="64">
        <v>5.5918647256145353E-8</v>
      </c>
      <c r="AA14" s="64">
        <v>2.7894697178279999E-8</v>
      </c>
      <c r="AB14" s="64">
        <v>3.947821859802479E-8</v>
      </c>
      <c r="AC14" s="64">
        <v>1.4740247166990949E-7</v>
      </c>
      <c r="AD14" s="64">
        <v>1.4118419783673967E-7</v>
      </c>
      <c r="AE14" s="64">
        <v>6.0040823569044511E-8</v>
      </c>
      <c r="AF14" s="64">
        <v>7.1034806437757676E-8</v>
      </c>
      <c r="AG14" s="64">
        <v>3.9181321548917744E-7</v>
      </c>
      <c r="AH14" s="64">
        <v>9.5128042582804669E-8</v>
      </c>
      <c r="AI14" s="64">
        <v>2.2590772774640337E-7</v>
      </c>
      <c r="AJ14" s="64">
        <v>9.0159375565394364E-8</v>
      </c>
      <c r="AK14" s="65">
        <f t="shared" si="0"/>
        <v>1.2820581445269581</v>
      </c>
    </row>
    <row r="15" spans="1:37" ht="13.5" customHeight="1">
      <c r="A15" s="44" t="s">
        <v>51</v>
      </c>
      <c r="B15" s="15" t="s">
        <v>9</v>
      </c>
      <c r="C15" s="63">
        <v>3.0813753445211385E-3</v>
      </c>
      <c r="D15" s="63">
        <v>4.7805914279409421E-3</v>
      </c>
      <c r="E15" s="63">
        <v>8.0212735555521379E-3</v>
      </c>
      <c r="F15" s="63">
        <v>2.0137434014315292E-3</v>
      </c>
      <c r="G15" s="63">
        <v>3.2381200029860421E-3</v>
      </c>
      <c r="H15" s="63">
        <v>1.5152030806292909E-3</v>
      </c>
      <c r="I15" s="63">
        <v>5.0720090170375334E-3</v>
      </c>
      <c r="J15" s="63">
        <v>3.7790266201403679E-3</v>
      </c>
      <c r="K15" s="63">
        <v>1.13687780764632</v>
      </c>
      <c r="L15" s="63">
        <v>2.1392658582266709E-2</v>
      </c>
      <c r="M15" s="63">
        <v>1.040632738175183E-2</v>
      </c>
      <c r="N15" s="63">
        <v>6.5800911136135775E-3</v>
      </c>
      <c r="O15" s="63">
        <v>1.0727607822520632E-2</v>
      </c>
      <c r="P15" s="63">
        <v>6.9444519131987683E-3</v>
      </c>
      <c r="Q15" s="63">
        <v>1.2326783403968259E-2</v>
      </c>
      <c r="R15" s="63">
        <v>1.1167690419171513E-2</v>
      </c>
      <c r="S15" s="63">
        <v>4.2970325276440163E-3</v>
      </c>
      <c r="T15" s="63">
        <v>-4.0019416557056175E-4</v>
      </c>
      <c r="U15" s="63">
        <v>7.8304216982072027E-3</v>
      </c>
      <c r="V15" s="64">
        <v>9.5810979563463197E-2</v>
      </c>
      <c r="W15" s="64">
        <v>2.0044524848864178E-3</v>
      </c>
      <c r="X15" s="64">
        <v>1.7947036410186448E-3</v>
      </c>
      <c r="Y15" s="64">
        <v>7.2127640502754348E-3</v>
      </c>
      <c r="Z15" s="64">
        <v>1.5145682049317885E-3</v>
      </c>
      <c r="AA15" s="64">
        <v>8.3612696160081305E-4</v>
      </c>
      <c r="AB15" s="64">
        <v>7.7837900959562747E-3</v>
      </c>
      <c r="AC15" s="64">
        <v>2.8916038780221797E-3</v>
      </c>
      <c r="AD15" s="64">
        <v>3.6843591633845189E-3</v>
      </c>
      <c r="AE15" s="64">
        <v>3.2703694791738173E-3</v>
      </c>
      <c r="AF15" s="64">
        <v>2.5396571617823695E-3</v>
      </c>
      <c r="AG15" s="64">
        <v>1.9259226392409395E-3</v>
      </c>
      <c r="AH15" s="64">
        <v>4.4959556245430321E-3</v>
      </c>
      <c r="AI15" s="64">
        <v>3.9311622957024159E-3</v>
      </c>
      <c r="AJ15" s="64">
        <v>4.6063148122837518E-3</v>
      </c>
      <c r="AK15" s="65">
        <f t="shared" si="0"/>
        <v>1.4039547508495966</v>
      </c>
    </row>
    <row r="16" spans="1:37" ht="13.5" customHeight="1">
      <c r="A16" s="44" t="s">
        <v>52</v>
      </c>
      <c r="B16" s="15" t="s">
        <v>10</v>
      </c>
      <c r="C16" s="63">
        <v>7.4028131531838877E-3</v>
      </c>
      <c r="D16" s="63">
        <v>2.2732419378608336E-2</v>
      </c>
      <c r="E16" s="63">
        <v>9.8010229522783703E-3</v>
      </c>
      <c r="F16" s="63">
        <v>6.4824534628879996E-3</v>
      </c>
      <c r="G16" s="63">
        <v>1.1367718576620615E-2</v>
      </c>
      <c r="H16" s="63">
        <v>1.0715623974089018E-2</v>
      </c>
      <c r="I16" s="63">
        <v>1.2673335530476695E-2</v>
      </c>
      <c r="J16" s="63">
        <v>2.1181706824923194E-2</v>
      </c>
      <c r="K16" s="63">
        <v>3.6667802565174899E-2</v>
      </c>
      <c r="L16" s="63">
        <v>1.2215900431051976</v>
      </c>
      <c r="M16" s="63">
        <v>0.23645990652289389</v>
      </c>
      <c r="N16" s="63">
        <v>2.6016731435710254E-2</v>
      </c>
      <c r="O16" s="63">
        <v>0.13095042957136649</v>
      </c>
      <c r="P16" s="63">
        <v>0.12845081271535574</v>
      </c>
      <c r="Q16" s="63">
        <v>0.13229770069386704</v>
      </c>
      <c r="R16" s="63">
        <v>8.4415504762386753E-2</v>
      </c>
      <c r="S16" s="63">
        <v>3.1367384741352269E-2</v>
      </c>
      <c r="T16" s="63">
        <v>9.8308617806597953E-3</v>
      </c>
      <c r="U16" s="63">
        <v>2.257178074021245E-2</v>
      </c>
      <c r="V16" s="64">
        <v>0.1162255906425434</v>
      </c>
      <c r="W16" s="64">
        <v>6.1404033322215792E-3</v>
      </c>
      <c r="X16" s="64">
        <v>9.9711361185080075E-3</v>
      </c>
      <c r="Y16" s="64">
        <v>1.0686227415466366E-2</v>
      </c>
      <c r="Z16" s="64">
        <v>6.0594122575118583E-3</v>
      </c>
      <c r="AA16" s="64">
        <v>2.5485396293473913E-3</v>
      </c>
      <c r="AB16" s="64">
        <v>1.0890260261433842E-2</v>
      </c>
      <c r="AC16" s="64">
        <v>1.1775367700414473E-2</v>
      </c>
      <c r="AD16" s="64">
        <v>9.53519569611673E-3</v>
      </c>
      <c r="AE16" s="64">
        <v>7.3467179471077386E-3</v>
      </c>
      <c r="AF16" s="64">
        <v>6.0700887348201721E-3</v>
      </c>
      <c r="AG16" s="64">
        <v>5.9742764736476365E-3</v>
      </c>
      <c r="AH16" s="64">
        <v>7.4476456802175482E-3</v>
      </c>
      <c r="AI16" s="64">
        <v>2.3699196228007348E-2</v>
      </c>
      <c r="AJ16" s="64">
        <v>1.1800239791795817E-2</v>
      </c>
      <c r="AK16" s="65">
        <f t="shared" si="0"/>
        <v>2.4091463503964063</v>
      </c>
    </row>
    <row r="17" spans="1:37" ht="13.5" customHeight="1">
      <c r="A17" s="44" t="s">
        <v>53</v>
      </c>
      <c r="B17" s="15" t="s">
        <v>54</v>
      </c>
      <c r="C17" s="63">
        <v>1.0187811111576612E-2</v>
      </c>
      <c r="D17" s="63">
        <v>3.9404834167518124E-2</v>
      </c>
      <c r="E17" s="63">
        <v>2.3784591103099627E-2</v>
      </c>
      <c r="F17" s="63">
        <v>8.8847041374324372E-3</v>
      </c>
      <c r="G17" s="63">
        <v>2.3243624937990721E-2</v>
      </c>
      <c r="H17" s="63">
        <v>2.2406489300892691E-2</v>
      </c>
      <c r="I17" s="63">
        <v>1.5279069620204592E-2</v>
      </c>
      <c r="J17" s="63">
        <v>2.6756310687403483E-2</v>
      </c>
      <c r="K17" s="63">
        <v>2.7386952912189191E-2</v>
      </c>
      <c r="L17" s="63">
        <v>1.6960308787409454E-2</v>
      </c>
      <c r="M17" s="63">
        <v>1.1664256528383314</v>
      </c>
      <c r="N17" s="63">
        <v>1.4219242217637188E-2</v>
      </c>
      <c r="O17" s="63">
        <v>4.6948646805370253E-2</v>
      </c>
      <c r="P17" s="63">
        <v>0.1443121818129196</v>
      </c>
      <c r="Q17" s="63">
        <v>9.2067783244649662E-2</v>
      </c>
      <c r="R17" s="63">
        <v>6.4212601167314476E-2</v>
      </c>
      <c r="S17" s="63">
        <v>2.7255122200181846E-2</v>
      </c>
      <c r="T17" s="63">
        <v>1.1588246643615721E-2</v>
      </c>
      <c r="U17" s="63">
        <v>2.909741378830295E-2</v>
      </c>
      <c r="V17" s="64">
        <v>9.790968814243757E-2</v>
      </c>
      <c r="W17" s="64">
        <v>9.5150907738003922E-3</v>
      </c>
      <c r="X17" s="64">
        <v>1.2461867670569662E-2</v>
      </c>
      <c r="Y17" s="64">
        <v>1.9837204795987922E-2</v>
      </c>
      <c r="Z17" s="64">
        <v>6.4854216643126239E-3</v>
      </c>
      <c r="AA17" s="64">
        <v>3.6884886128994219E-3</v>
      </c>
      <c r="AB17" s="64">
        <v>1.056777975304265E-2</v>
      </c>
      <c r="AC17" s="64">
        <v>1.1943741332208034E-2</v>
      </c>
      <c r="AD17" s="64">
        <v>1.5844170490292207E-2</v>
      </c>
      <c r="AE17" s="64">
        <v>1.4376445827811817E-2</v>
      </c>
      <c r="AF17" s="64">
        <v>9.3989268124841374E-3</v>
      </c>
      <c r="AG17" s="64">
        <v>7.3623916130651796E-3</v>
      </c>
      <c r="AH17" s="64">
        <v>1.1883491454997317E-2</v>
      </c>
      <c r="AI17" s="64">
        <v>2.9415511181786518E-2</v>
      </c>
      <c r="AJ17" s="64">
        <v>1.871216057566126E-2</v>
      </c>
      <c r="AK17" s="65">
        <f t="shared" si="0"/>
        <v>2.0898239681853963</v>
      </c>
    </row>
    <row r="18" spans="1:37" ht="13.5" customHeight="1">
      <c r="A18" s="44" t="s">
        <v>55</v>
      </c>
      <c r="B18" s="15" t="s">
        <v>56</v>
      </c>
      <c r="C18" s="63">
        <v>1.0043494612238874E-2</v>
      </c>
      <c r="D18" s="63">
        <v>1.7132485528159044E-2</v>
      </c>
      <c r="E18" s="63">
        <v>1.1865528598649635E-2</v>
      </c>
      <c r="F18" s="63">
        <v>1.0072827468127604E-2</v>
      </c>
      <c r="G18" s="63">
        <v>1.5908481345219876E-2</v>
      </c>
      <c r="H18" s="63">
        <v>8.8867964058974101E-3</v>
      </c>
      <c r="I18" s="63">
        <v>1.0678983369335902E-2</v>
      </c>
      <c r="J18" s="63">
        <v>1.6810103927199466E-2</v>
      </c>
      <c r="K18" s="63">
        <v>1.4151244905514924E-2</v>
      </c>
      <c r="L18" s="63">
        <v>1.1244254390762291E-2</v>
      </c>
      <c r="M18" s="63">
        <v>2.2133499387748456E-2</v>
      </c>
      <c r="N18" s="63">
        <v>1.1750393921028746</v>
      </c>
      <c r="O18" s="63">
        <v>7.5939394543389924E-2</v>
      </c>
      <c r="P18" s="63">
        <v>6.0211785819044322E-2</v>
      </c>
      <c r="Q18" s="63">
        <v>4.5316366713907499E-2</v>
      </c>
      <c r="R18" s="63">
        <v>1.8743170109246424E-2</v>
      </c>
      <c r="S18" s="63">
        <v>4.1794504991447046E-2</v>
      </c>
      <c r="T18" s="63">
        <v>1.4129131179150997E-2</v>
      </c>
      <c r="U18" s="63">
        <v>2.6683558469342849E-2</v>
      </c>
      <c r="V18" s="64">
        <v>1.7801482888809218E-2</v>
      </c>
      <c r="W18" s="64">
        <v>1.7632826163581267E-2</v>
      </c>
      <c r="X18" s="64">
        <v>1.2212697440977836E-2</v>
      </c>
      <c r="Y18" s="64">
        <v>1.7740365801510043E-2</v>
      </c>
      <c r="Z18" s="64">
        <v>4.2405183245913011E-2</v>
      </c>
      <c r="AA18" s="64">
        <v>8.6448828601078838E-3</v>
      </c>
      <c r="AB18" s="64">
        <v>7.8171619542760293E-3</v>
      </c>
      <c r="AC18" s="64">
        <v>4.6805836971405272E-2</v>
      </c>
      <c r="AD18" s="64">
        <v>2.1637076367443591E-2</v>
      </c>
      <c r="AE18" s="64">
        <v>9.5677414546404965E-3</v>
      </c>
      <c r="AF18" s="64">
        <v>1.8147265992233708E-2</v>
      </c>
      <c r="AG18" s="64">
        <v>1.5680159906100548E-2</v>
      </c>
      <c r="AH18" s="64">
        <v>1.8523147650401341E-2</v>
      </c>
      <c r="AI18" s="64">
        <v>4.5144377659430218E-2</v>
      </c>
      <c r="AJ18" s="64">
        <v>2.2782434353584118E-2</v>
      </c>
      <c r="AK18" s="65">
        <f t="shared" si="0"/>
        <v>1.929327644577671</v>
      </c>
    </row>
    <row r="19" spans="1:37" ht="13.5" customHeight="1">
      <c r="A19" s="44" t="s">
        <v>57</v>
      </c>
      <c r="B19" s="15" t="s">
        <v>58</v>
      </c>
      <c r="C19" s="63">
        <v>9.3412997624527545E-3</v>
      </c>
      <c r="D19" s="63">
        <v>3.8497390740909035E-2</v>
      </c>
      <c r="E19" s="63">
        <v>1.1480970272011694E-2</v>
      </c>
      <c r="F19" s="63">
        <v>1.0737329713800266E-2</v>
      </c>
      <c r="G19" s="63">
        <v>1.6254100169000637E-2</v>
      </c>
      <c r="H19" s="63">
        <v>6.8001522837188499E-3</v>
      </c>
      <c r="I19" s="63">
        <v>1.0463021428229977E-2</v>
      </c>
      <c r="J19" s="63">
        <v>1.8146206228129992E-2</v>
      </c>
      <c r="K19" s="63">
        <v>2.3969684578189515E-2</v>
      </c>
      <c r="L19" s="63">
        <v>1.2674888547242243E-2</v>
      </c>
      <c r="M19" s="63">
        <v>2.4539036553890302E-2</v>
      </c>
      <c r="N19" s="63">
        <v>2.5528866570344533E-2</v>
      </c>
      <c r="O19" s="63">
        <v>1.1964341738251996</v>
      </c>
      <c r="P19" s="63">
        <v>6.1389763442770806E-2</v>
      </c>
      <c r="Q19" s="63">
        <v>0.10274178812505037</v>
      </c>
      <c r="R19" s="63">
        <v>2.5094191424348739E-2</v>
      </c>
      <c r="S19" s="63">
        <v>3.9617820182715098E-2</v>
      </c>
      <c r="T19" s="63">
        <v>1.9802328026645107E-2</v>
      </c>
      <c r="U19" s="63">
        <v>4.3085038778092249E-2</v>
      </c>
      <c r="V19" s="64">
        <v>6.0702201784842889E-2</v>
      </c>
      <c r="W19" s="64">
        <v>1.5183599557252294E-2</v>
      </c>
      <c r="X19" s="64">
        <v>2.5539883986838315E-2</v>
      </c>
      <c r="Y19" s="64">
        <v>2.2971655223957457E-2</v>
      </c>
      <c r="Z19" s="64">
        <v>2.6582188593882686E-2</v>
      </c>
      <c r="AA19" s="64">
        <v>7.5816230400802343E-3</v>
      </c>
      <c r="AB19" s="64">
        <v>1.2178813905558035E-2</v>
      </c>
      <c r="AC19" s="64">
        <v>3.7915164482487718E-2</v>
      </c>
      <c r="AD19" s="64">
        <v>2.9218213925552874E-2</v>
      </c>
      <c r="AE19" s="64">
        <v>1.1530617466880128E-2</v>
      </c>
      <c r="AF19" s="64">
        <v>1.3080563421384528E-2</v>
      </c>
      <c r="AG19" s="64">
        <v>9.0080762127087641E-3</v>
      </c>
      <c r="AH19" s="64">
        <v>1.7415868460687656E-2</v>
      </c>
      <c r="AI19" s="64">
        <v>5.5549540989384451E-2</v>
      </c>
      <c r="AJ19" s="64">
        <v>1.5703981849973448E-2</v>
      </c>
      <c r="AK19" s="65">
        <f t="shared" si="0"/>
        <v>2.0567600435542133</v>
      </c>
    </row>
    <row r="20" spans="1:37" ht="13.5" customHeight="1">
      <c r="A20" s="44" t="s">
        <v>59</v>
      </c>
      <c r="B20" s="15" t="s">
        <v>11</v>
      </c>
      <c r="C20" s="63">
        <v>5.0173097719420608E-3</v>
      </c>
      <c r="D20" s="63">
        <v>3.0862179426512662E-2</v>
      </c>
      <c r="E20" s="63">
        <v>6.3603768403996536E-3</v>
      </c>
      <c r="F20" s="63">
        <v>3.8495424640883551E-3</v>
      </c>
      <c r="G20" s="63">
        <v>6.4064020287729001E-3</v>
      </c>
      <c r="H20" s="63">
        <v>1.0074401763736007E-2</v>
      </c>
      <c r="I20" s="63">
        <v>5.6453817550447209E-3</v>
      </c>
      <c r="J20" s="63">
        <v>0.10502420185852922</v>
      </c>
      <c r="K20" s="63">
        <v>1.099813374398555E-2</v>
      </c>
      <c r="L20" s="63">
        <v>8.0286010613237931E-3</v>
      </c>
      <c r="M20" s="63">
        <v>2.4373662717126248E-2</v>
      </c>
      <c r="N20" s="63">
        <v>7.6076422291675551E-3</v>
      </c>
      <c r="O20" s="63">
        <v>1.1664175754615281E-2</v>
      </c>
      <c r="P20" s="63">
        <v>1.142732451355341</v>
      </c>
      <c r="Q20" s="63">
        <v>3.2653981755231994E-2</v>
      </c>
      <c r="R20" s="63">
        <v>7.3456338532893704E-3</v>
      </c>
      <c r="S20" s="63">
        <v>1.7353067774395357E-2</v>
      </c>
      <c r="T20" s="63">
        <v>9.260956028590981E-3</v>
      </c>
      <c r="U20" s="63">
        <v>3.6745000102620953E-2</v>
      </c>
      <c r="V20" s="64">
        <v>3.7304181974353388E-2</v>
      </c>
      <c r="W20" s="64">
        <v>4.2043352300008656E-3</v>
      </c>
      <c r="X20" s="64">
        <v>6.2581402214675376E-3</v>
      </c>
      <c r="Y20" s="64">
        <v>6.1730102905243186E-3</v>
      </c>
      <c r="Z20" s="64">
        <v>2.6656647259023255E-3</v>
      </c>
      <c r="AA20" s="64">
        <v>1.3582173348599472E-3</v>
      </c>
      <c r="AB20" s="64">
        <v>5.2866151212401808E-3</v>
      </c>
      <c r="AC20" s="64">
        <v>6.6051078580356033E-3</v>
      </c>
      <c r="AD20" s="64">
        <v>5.4830052997611838E-3</v>
      </c>
      <c r="AE20" s="64">
        <v>4.7365725949243776E-3</v>
      </c>
      <c r="AF20" s="64">
        <v>4.9801199462884173E-3</v>
      </c>
      <c r="AG20" s="64">
        <v>3.5471868513855353E-3</v>
      </c>
      <c r="AH20" s="64">
        <v>5.2813241193681252E-3</v>
      </c>
      <c r="AI20" s="64">
        <v>7.7085949907171472E-3</v>
      </c>
      <c r="AJ20" s="64">
        <v>6.6217415994773571E-3</v>
      </c>
      <c r="AK20" s="65">
        <f t="shared" si="0"/>
        <v>1.5902169204430203</v>
      </c>
    </row>
    <row r="21" spans="1:37" ht="13.5" customHeight="1">
      <c r="A21" s="44" t="s">
        <v>60</v>
      </c>
      <c r="B21" s="15" t="s">
        <v>12</v>
      </c>
      <c r="C21" s="63">
        <v>9.345515243543677E-3</v>
      </c>
      <c r="D21" s="63">
        <v>5.6165065816797581E-2</v>
      </c>
      <c r="E21" s="63">
        <v>9.5595863556698028E-3</v>
      </c>
      <c r="F21" s="63">
        <v>9.9819051215012129E-3</v>
      </c>
      <c r="G21" s="63">
        <v>1.1588053378317776E-2</v>
      </c>
      <c r="H21" s="63">
        <v>4.0008944451320715E-3</v>
      </c>
      <c r="I21" s="63">
        <v>8.0798656407138174E-3</v>
      </c>
      <c r="J21" s="63">
        <v>8.8002172100492826E-3</v>
      </c>
      <c r="K21" s="63">
        <v>2.1984029329516198E-2</v>
      </c>
      <c r="L21" s="63">
        <v>8.1412740626151843E-3</v>
      </c>
      <c r="M21" s="63">
        <v>1.2127476633322575E-2</v>
      </c>
      <c r="N21" s="63">
        <v>6.6167930283544587E-3</v>
      </c>
      <c r="O21" s="63">
        <v>7.5382145463390622E-3</v>
      </c>
      <c r="P21" s="63">
        <v>1.5483025687475189E-2</v>
      </c>
      <c r="Q21" s="63">
        <v>1.3501172151864795</v>
      </c>
      <c r="R21" s="63">
        <v>1.1996457978058137E-2</v>
      </c>
      <c r="S21" s="63">
        <v>6.3053473013642322E-2</v>
      </c>
      <c r="T21" s="63">
        <v>3.8044078312423637E-3</v>
      </c>
      <c r="U21" s="63">
        <v>2.8834020002536365E-2</v>
      </c>
      <c r="V21" s="64">
        <v>7.7748246713521584E-3</v>
      </c>
      <c r="W21" s="64">
        <v>9.6298649072933621E-3</v>
      </c>
      <c r="X21" s="64">
        <v>4.2759598787861487E-2</v>
      </c>
      <c r="Y21" s="64">
        <v>7.7379226317764466E-3</v>
      </c>
      <c r="Z21" s="64">
        <v>5.0923027571885349E-3</v>
      </c>
      <c r="AA21" s="64">
        <v>2.8153832096351025E-3</v>
      </c>
      <c r="AB21" s="64">
        <v>2.8894096520355123E-3</v>
      </c>
      <c r="AC21" s="64">
        <v>1.8392561385016378E-2</v>
      </c>
      <c r="AD21" s="64">
        <v>1.3945892603539126E-2</v>
      </c>
      <c r="AE21" s="64">
        <v>2.2924656044131943E-2</v>
      </c>
      <c r="AF21" s="64">
        <v>5.5589485571630052E-3</v>
      </c>
      <c r="AG21" s="64">
        <v>5.2055121536333819E-3</v>
      </c>
      <c r="AH21" s="64">
        <v>7.2399610354245214E-3</v>
      </c>
      <c r="AI21" s="64">
        <v>0.12727028275450902</v>
      </c>
      <c r="AJ21" s="64">
        <v>2.4794494201300431E-2</v>
      </c>
      <c r="AK21" s="65">
        <f t="shared" si="0"/>
        <v>1.9512491058631676</v>
      </c>
    </row>
    <row r="22" spans="1:37" ht="13.5" customHeight="1">
      <c r="A22" s="44" t="s">
        <v>61</v>
      </c>
      <c r="B22" s="15" t="s">
        <v>62</v>
      </c>
      <c r="C22" s="63">
        <v>1.7947958309095893E-3</v>
      </c>
      <c r="D22" s="63">
        <v>3.230518446205781E-3</v>
      </c>
      <c r="E22" s="63">
        <v>3.603516430647314E-3</v>
      </c>
      <c r="F22" s="63">
        <v>3.1236637991056077E-3</v>
      </c>
      <c r="G22" s="63">
        <v>2.9544841000000428E-3</v>
      </c>
      <c r="H22" s="63">
        <v>5.9168899110005309E-4</v>
      </c>
      <c r="I22" s="63">
        <v>1.5977249740595607E-3</v>
      </c>
      <c r="J22" s="63">
        <v>1.6544109293430938E-3</v>
      </c>
      <c r="K22" s="63">
        <v>2.2306460814154961E-3</v>
      </c>
      <c r="L22" s="63">
        <v>1.5650810747041314E-3</v>
      </c>
      <c r="M22" s="63">
        <v>2.8168564381097928E-3</v>
      </c>
      <c r="N22" s="63">
        <v>1.2746484943390248E-3</v>
      </c>
      <c r="O22" s="63">
        <v>1.6939585789994456E-3</v>
      </c>
      <c r="P22" s="63">
        <v>2.2493649484979163E-3</v>
      </c>
      <c r="Q22" s="63">
        <v>1.8019810781204383E-3</v>
      </c>
      <c r="R22" s="63">
        <v>1.0272272831530447</v>
      </c>
      <c r="S22" s="63">
        <v>4.3646064919784129E-3</v>
      </c>
      <c r="T22" s="63">
        <v>8.0022562696675304E-4</v>
      </c>
      <c r="U22" s="63">
        <v>6.9396362529485145E-3</v>
      </c>
      <c r="V22" s="64">
        <v>8.9652154844975847E-3</v>
      </c>
      <c r="W22" s="64">
        <v>4.5693472151936273E-3</v>
      </c>
      <c r="X22" s="64">
        <v>2.3967125377398063E-3</v>
      </c>
      <c r="Y22" s="64">
        <v>1.461555562986022E-2</v>
      </c>
      <c r="Z22" s="64">
        <v>4.1873589744560223E-3</v>
      </c>
      <c r="AA22" s="64">
        <v>2.5416730686694628E-3</v>
      </c>
      <c r="AB22" s="64">
        <v>5.5187142272649552E-3</v>
      </c>
      <c r="AC22" s="64">
        <v>7.9066966047393258E-3</v>
      </c>
      <c r="AD22" s="64">
        <v>8.7467043504858254E-3</v>
      </c>
      <c r="AE22" s="64">
        <v>4.1545400080537365E-3</v>
      </c>
      <c r="AF22" s="64">
        <v>1.629639625481813E-2</v>
      </c>
      <c r="AG22" s="64">
        <v>4.9652049084149535E-3</v>
      </c>
      <c r="AH22" s="64">
        <v>1.8274748923558591E-2</v>
      </c>
      <c r="AI22" s="64">
        <v>1.2359945751424028E-2</v>
      </c>
      <c r="AJ22" s="64">
        <v>6.5023907654767205E-3</v>
      </c>
      <c r="AK22" s="65">
        <f t="shared" si="0"/>
        <v>1.1935162964251491</v>
      </c>
    </row>
    <row r="23" spans="1:37" ht="13.5" customHeight="1">
      <c r="A23" s="44" t="s">
        <v>63</v>
      </c>
      <c r="B23" s="15" t="s">
        <v>64</v>
      </c>
      <c r="C23" s="63">
        <v>2.0032089206787704E-2</v>
      </c>
      <c r="D23" s="63">
        <v>4.7056163280877937E-2</v>
      </c>
      <c r="E23" s="63">
        <v>5.0872963586267465E-2</v>
      </c>
      <c r="F23" s="63">
        <v>9.383083770103938E-2</v>
      </c>
      <c r="G23" s="63">
        <v>5.7244370155436139E-2</v>
      </c>
      <c r="H23" s="63">
        <v>7.3107422177867481E-3</v>
      </c>
      <c r="I23" s="63">
        <v>3.9927632859347577E-2</v>
      </c>
      <c r="J23" s="63">
        <v>4.4042119992189356E-2</v>
      </c>
      <c r="K23" s="63">
        <v>4.8540085248945056E-2</v>
      </c>
      <c r="L23" s="63">
        <v>3.625204488836134E-2</v>
      </c>
      <c r="M23" s="63">
        <v>7.2157604603862127E-2</v>
      </c>
      <c r="N23" s="63">
        <v>7.1534610069904622E-2</v>
      </c>
      <c r="O23" s="63">
        <v>5.3240037356130955E-2</v>
      </c>
      <c r="P23" s="63">
        <v>0.10417117552461388</v>
      </c>
      <c r="Q23" s="63">
        <v>6.0152210163228088E-2</v>
      </c>
      <c r="R23" s="63">
        <v>9.724199971274107E-2</v>
      </c>
      <c r="S23" s="63">
        <v>1.1619295304476722</v>
      </c>
      <c r="T23" s="63">
        <v>8.9879654653625702E-3</v>
      </c>
      <c r="U23" s="63">
        <v>2.5930906787086476E-2</v>
      </c>
      <c r="V23" s="64">
        <v>2.2735743596724294E-2</v>
      </c>
      <c r="W23" s="64">
        <v>8.6120553568440599E-3</v>
      </c>
      <c r="X23" s="64">
        <v>8.1115111555735506E-3</v>
      </c>
      <c r="Y23" s="64">
        <v>2.1298932617460284E-2</v>
      </c>
      <c r="Z23" s="64">
        <v>8.746378393596042E-3</v>
      </c>
      <c r="AA23" s="64">
        <v>3.7664233415987272E-3</v>
      </c>
      <c r="AB23" s="64">
        <v>5.0099643164423753E-3</v>
      </c>
      <c r="AC23" s="64">
        <v>1.211588523548267E-2</v>
      </c>
      <c r="AD23" s="64">
        <v>1.7487532244267922E-2</v>
      </c>
      <c r="AE23" s="64">
        <v>7.145578673048587E-3</v>
      </c>
      <c r="AF23" s="64">
        <v>9.7774353742775301E-3</v>
      </c>
      <c r="AG23" s="64">
        <v>1.5156052900491853E-2</v>
      </c>
      <c r="AH23" s="64">
        <v>1.2780468437052892E-2</v>
      </c>
      <c r="AI23" s="64">
        <v>1.8921314194389728E-2</v>
      </c>
      <c r="AJ23" s="64">
        <v>1.0292065242870151E-2</v>
      </c>
      <c r="AK23" s="65">
        <f t="shared" si="0"/>
        <v>2.2824124303477609</v>
      </c>
    </row>
    <row r="24" spans="1:37" ht="13.5" customHeight="1">
      <c r="A24" s="44" t="s">
        <v>65</v>
      </c>
      <c r="B24" s="15" t="s">
        <v>13</v>
      </c>
      <c r="C24" s="63">
        <v>5.0791812602213333E-2</v>
      </c>
      <c r="D24" s="63">
        <v>9.0357048475438531E-2</v>
      </c>
      <c r="E24" s="63">
        <v>4.9921988169425169E-2</v>
      </c>
      <c r="F24" s="63">
        <v>4.4804350863303963E-2</v>
      </c>
      <c r="G24" s="63">
        <v>8.8223741352373222E-2</v>
      </c>
      <c r="H24" s="63">
        <v>3.826539457439565E-2</v>
      </c>
      <c r="I24" s="63">
        <v>6.7034261053921601E-2</v>
      </c>
      <c r="J24" s="63">
        <v>0.32955624818306772</v>
      </c>
      <c r="K24" s="63">
        <v>9.4816202131325522E-2</v>
      </c>
      <c r="L24" s="63">
        <v>0.11535826226691159</v>
      </c>
      <c r="M24" s="63">
        <v>5.4813162385598593E-2</v>
      </c>
      <c r="N24" s="63">
        <v>5.859146997855063E-2</v>
      </c>
      <c r="O24" s="63">
        <v>4.1835400917219268E-2</v>
      </c>
      <c r="P24" s="63">
        <v>4.4215548309846198E-2</v>
      </c>
      <c r="Q24" s="63">
        <v>5.3890023002250195E-2</v>
      </c>
      <c r="R24" s="63">
        <v>3.9615816623068914E-2</v>
      </c>
      <c r="S24" s="63">
        <v>2.9195245954453861E-2</v>
      </c>
      <c r="T24" s="63">
        <v>1.2119922232629998</v>
      </c>
      <c r="U24" s="63">
        <v>4.6542229559074305E-2</v>
      </c>
      <c r="V24" s="64">
        <v>3.5128874560665636E-2</v>
      </c>
      <c r="W24" s="64">
        <v>2.4859280506490954E-2</v>
      </c>
      <c r="X24" s="64">
        <v>3.2989715537368076E-2</v>
      </c>
      <c r="Y24" s="64">
        <v>3.307832153603766E-2</v>
      </c>
      <c r="Z24" s="64">
        <v>1.7712921965820468E-2</v>
      </c>
      <c r="AA24" s="64">
        <v>1.1840556013489179E-2</v>
      </c>
      <c r="AB24" s="64">
        <v>1.653808259858611E-2</v>
      </c>
      <c r="AC24" s="64">
        <v>3.8652119021378321E-2</v>
      </c>
      <c r="AD24" s="64">
        <v>1.6099731224964772E-2</v>
      </c>
      <c r="AE24" s="64">
        <v>1.3519239261182847E-2</v>
      </c>
      <c r="AF24" s="64">
        <v>3.7009437980886684E-2</v>
      </c>
      <c r="AG24" s="64">
        <v>2.5325832996298012E-2</v>
      </c>
      <c r="AH24" s="64">
        <v>2.9870607392874001E-2</v>
      </c>
      <c r="AI24" s="64">
        <v>3.2281743610338101E-2</v>
      </c>
      <c r="AJ24" s="64">
        <v>1.7460905473411427E-2</v>
      </c>
      <c r="AK24" s="65">
        <f t="shared" si="0"/>
        <v>2.9321877993452303</v>
      </c>
    </row>
    <row r="25" spans="1:37" ht="13.5" customHeight="1">
      <c r="A25" s="44" t="s">
        <v>66</v>
      </c>
      <c r="B25" s="15" t="s">
        <v>67</v>
      </c>
      <c r="C25" s="63">
        <v>5.7977739507867488E-3</v>
      </c>
      <c r="D25" s="63">
        <v>7.7696852195493918E-3</v>
      </c>
      <c r="E25" s="63">
        <v>9.6436791042592354E-3</v>
      </c>
      <c r="F25" s="63">
        <v>1.0532211524882156E-2</v>
      </c>
      <c r="G25" s="63">
        <v>1.8116403852965951E-2</v>
      </c>
      <c r="H25" s="63">
        <v>2.2204749498131392E-3</v>
      </c>
      <c r="I25" s="63">
        <v>1.9591399680945039E-2</v>
      </c>
      <c r="J25" s="63">
        <v>1.9167607950982737E-2</v>
      </c>
      <c r="K25" s="63">
        <v>1.996153287245005E-2</v>
      </c>
      <c r="L25" s="63">
        <v>3.712166489695555E-2</v>
      </c>
      <c r="M25" s="63">
        <v>1.8453685836570047E-2</v>
      </c>
      <c r="N25" s="63">
        <v>3.9080282295276391E-3</v>
      </c>
      <c r="O25" s="63">
        <v>9.1578732109358595E-3</v>
      </c>
      <c r="P25" s="63">
        <v>1.2500523922418367E-2</v>
      </c>
      <c r="Q25" s="63">
        <v>1.0194284650284763E-2</v>
      </c>
      <c r="R25" s="63">
        <v>1.0181950044793719E-2</v>
      </c>
      <c r="S25" s="63">
        <v>7.5630826242814959E-3</v>
      </c>
      <c r="T25" s="63">
        <v>4.3300407079562122E-3</v>
      </c>
      <c r="U25" s="63">
        <v>1.0610246304370579</v>
      </c>
      <c r="V25" s="64">
        <v>9.4823578475016681E-3</v>
      </c>
      <c r="W25" s="64">
        <v>4.0231292302787304E-3</v>
      </c>
      <c r="X25" s="64">
        <v>4.7456009294116162E-3</v>
      </c>
      <c r="Y25" s="64">
        <v>1.88456381789926E-2</v>
      </c>
      <c r="Z25" s="64">
        <v>4.2944484490430685E-3</v>
      </c>
      <c r="AA25" s="64">
        <v>3.4358526997908551E-3</v>
      </c>
      <c r="AB25" s="64">
        <v>1.2151594689481278E-2</v>
      </c>
      <c r="AC25" s="64">
        <v>6.898395191519041E-3</v>
      </c>
      <c r="AD25" s="64">
        <v>6.7160159361513809E-3</v>
      </c>
      <c r="AE25" s="64">
        <v>7.2242022981356445E-3</v>
      </c>
      <c r="AF25" s="64">
        <v>1.2107187604435287E-2</v>
      </c>
      <c r="AG25" s="64">
        <v>1.3464413976286144E-2</v>
      </c>
      <c r="AH25" s="64">
        <v>1.0398339845337739E-2</v>
      </c>
      <c r="AI25" s="64">
        <v>1.3334039178027035E-2</v>
      </c>
      <c r="AJ25" s="64">
        <v>9.069621319629741E-3</v>
      </c>
      <c r="AK25" s="65">
        <f t="shared" si="0"/>
        <v>1.4234273710414376</v>
      </c>
    </row>
    <row r="26" spans="1:37" ht="13.5" customHeight="1">
      <c r="A26" s="44" t="s">
        <v>68</v>
      </c>
      <c r="B26" s="15" t="s">
        <v>14</v>
      </c>
      <c r="C26" s="63">
        <v>2.8843018479434374E-3</v>
      </c>
      <c r="D26" s="63">
        <v>8.1987186172080215E-3</v>
      </c>
      <c r="E26" s="63">
        <v>2.9970300291608056E-3</v>
      </c>
      <c r="F26" s="63">
        <v>2.2529196879568802E-3</v>
      </c>
      <c r="G26" s="63">
        <v>3.3366018546566712E-3</v>
      </c>
      <c r="H26" s="63">
        <v>1.1697234345138085E-3</v>
      </c>
      <c r="I26" s="63">
        <v>2.3061192206020259E-3</v>
      </c>
      <c r="J26" s="63">
        <v>2.8137854506405558E-3</v>
      </c>
      <c r="K26" s="63">
        <v>3.3493194203895386E-3</v>
      </c>
      <c r="L26" s="63">
        <v>2.5309625692480587E-3</v>
      </c>
      <c r="M26" s="63">
        <v>3.0826104661890513E-3</v>
      </c>
      <c r="N26" s="63">
        <v>1.4857129861105256E-3</v>
      </c>
      <c r="O26" s="63">
        <v>2.3927544835954271E-3</v>
      </c>
      <c r="P26" s="63">
        <v>2.4272401468007198E-3</v>
      </c>
      <c r="Q26" s="63">
        <v>2.0184294661817525E-3</v>
      </c>
      <c r="R26" s="63">
        <v>3.0552761612921099E-3</v>
      </c>
      <c r="S26" s="63">
        <v>2.3123331640507849E-3</v>
      </c>
      <c r="T26" s="63">
        <v>3.0244903541755768E-3</v>
      </c>
      <c r="U26" s="63">
        <v>5.7534733556748466E-3</v>
      </c>
      <c r="V26" s="64">
        <v>1.0021679781388544</v>
      </c>
      <c r="W26" s="64">
        <v>6.1861521999050277E-3</v>
      </c>
      <c r="X26" s="64">
        <v>2.4109927857921759E-3</v>
      </c>
      <c r="Y26" s="64">
        <v>9.3622451905992065E-3</v>
      </c>
      <c r="Z26" s="64">
        <v>4.1703731936911419E-3</v>
      </c>
      <c r="AA26" s="64">
        <v>2.6834651638293436E-3</v>
      </c>
      <c r="AB26" s="64">
        <v>7.2330101623863094E-2</v>
      </c>
      <c r="AC26" s="64">
        <v>6.0099464156808001E-3</v>
      </c>
      <c r="AD26" s="64">
        <v>5.180764194519228E-3</v>
      </c>
      <c r="AE26" s="64">
        <v>5.2941246061497639E-3</v>
      </c>
      <c r="AF26" s="64">
        <v>4.1710466946167325E-3</v>
      </c>
      <c r="AG26" s="64">
        <v>3.1213421631849946E-3</v>
      </c>
      <c r="AH26" s="64">
        <v>4.8346235531113585E-3</v>
      </c>
      <c r="AI26" s="64">
        <v>5.6163775187388536E-3</v>
      </c>
      <c r="AJ26" s="64">
        <v>6.7101423759440889E-3</v>
      </c>
      <c r="AK26" s="65">
        <f t="shared" si="0"/>
        <v>1.197641478534871</v>
      </c>
    </row>
    <row r="27" spans="1:37" ht="13.5" customHeight="1">
      <c r="A27" s="44" t="s">
        <v>69</v>
      </c>
      <c r="B27" s="15" t="s">
        <v>70</v>
      </c>
      <c r="C27" s="63">
        <v>9.7107947682672405E-2</v>
      </c>
      <c r="D27" s="63">
        <v>4.881527510563298E-2</v>
      </c>
      <c r="E27" s="63">
        <v>0.12547081878982203</v>
      </c>
      <c r="F27" s="63">
        <v>0.12465394494367507</v>
      </c>
      <c r="G27" s="63">
        <v>0.10647760483790063</v>
      </c>
      <c r="H27" s="63">
        <v>1.881481620986886E-2</v>
      </c>
      <c r="I27" s="63">
        <v>6.9559755527549269E-2</v>
      </c>
      <c r="J27" s="63">
        <v>7.3413825941326741E-2</v>
      </c>
      <c r="K27" s="63">
        <v>7.7153991035752684E-2</v>
      </c>
      <c r="L27" s="63">
        <v>4.4907793742611161E-2</v>
      </c>
      <c r="M27" s="63">
        <v>6.8411206881782621E-2</v>
      </c>
      <c r="N27" s="63">
        <v>6.0752139108542824E-2</v>
      </c>
      <c r="O27" s="63">
        <v>7.6398366706634968E-2</v>
      </c>
      <c r="P27" s="63">
        <v>7.7850714492864292E-2</v>
      </c>
      <c r="Q27" s="63">
        <v>8.9643087258122756E-2</v>
      </c>
      <c r="R27" s="63">
        <v>0.12937297898358474</v>
      </c>
      <c r="S27" s="63">
        <v>5.7971986866435621E-2</v>
      </c>
      <c r="T27" s="63">
        <v>3.8205681016736825E-2</v>
      </c>
      <c r="U27" s="63">
        <v>5.4756268877285692E-2</v>
      </c>
      <c r="V27" s="64">
        <v>6.9818113298786247E-2</v>
      </c>
      <c r="W27" s="64">
        <v>1.0684995361771663</v>
      </c>
      <c r="X27" s="64">
        <v>3.3239907993098228E-2</v>
      </c>
      <c r="Y27" s="64">
        <v>0.1302142359745595</v>
      </c>
      <c r="Z27" s="64">
        <v>6.4076321031535738E-2</v>
      </c>
      <c r="AA27" s="64">
        <v>1.5073459704674937E-2</v>
      </c>
      <c r="AB27" s="64">
        <v>1.6069525182134132E-2</v>
      </c>
      <c r="AC27" s="64">
        <v>4.6632845968994974E-2</v>
      </c>
      <c r="AD27" s="64">
        <v>4.0411839637301293E-2</v>
      </c>
      <c r="AE27" s="64">
        <v>2.5709293994881224E-2</v>
      </c>
      <c r="AF27" s="64">
        <v>3.6600460781581683E-2</v>
      </c>
      <c r="AG27" s="64">
        <v>8.5012467928715182E-2</v>
      </c>
      <c r="AH27" s="64">
        <v>5.8380008061545106E-2</v>
      </c>
      <c r="AI27" s="64">
        <v>8.2280497223562912E-2</v>
      </c>
      <c r="AJ27" s="64">
        <v>3.8893884764358039E-2</v>
      </c>
      <c r="AK27" s="65">
        <f t="shared" si="0"/>
        <v>3.2506506017316981</v>
      </c>
    </row>
    <row r="28" spans="1:37" ht="13.5" customHeight="1">
      <c r="A28" s="44" t="s">
        <v>71</v>
      </c>
      <c r="B28" s="15" t="s">
        <v>42</v>
      </c>
      <c r="C28" s="63">
        <v>5.01193008782954E-2</v>
      </c>
      <c r="D28" s="63">
        <v>0.17962544593346524</v>
      </c>
      <c r="E28" s="63">
        <v>7.2254319274094037E-2</v>
      </c>
      <c r="F28" s="63">
        <v>6.9081898307562437E-2</v>
      </c>
      <c r="G28" s="63">
        <v>8.0809419827745393E-2</v>
      </c>
      <c r="H28" s="63">
        <v>1.6576936548607816E-2</v>
      </c>
      <c r="I28" s="63">
        <v>5.6995668795065131E-2</v>
      </c>
      <c r="J28" s="63">
        <v>5.6433650874709376E-2</v>
      </c>
      <c r="K28" s="63">
        <v>0.17272374360266413</v>
      </c>
      <c r="L28" s="63">
        <v>5.2264056985781487E-2</v>
      </c>
      <c r="M28" s="63">
        <v>6.1010745752525318E-2</v>
      </c>
      <c r="N28" s="63">
        <v>3.0546833146087447E-2</v>
      </c>
      <c r="O28" s="63">
        <v>4.3814851554941796E-2</v>
      </c>
      <c r="P28" s="63">
        <v>5.4005598325098152E-2</v>
      </c>
      <c r="Q28" s="63">
        <v>4.536438590270938E-2</v>
      </c>
      <c r="R28" s="63">
        <v>7.5189774109899105E-2</v>
      </c>
      <c r="S28" s="63">
        <v>3.9044266908812839E-2</v>
      </c>
      <c r="T28" s="63">
        <v>1.4648312900715135E-2</v>
      </c>
      <c r="U28" s="63">
        <v>0.10039882045238692</v>
      </c>
      <c r="V28" s="64">
        <v>4.805239851123673E-2</v>
      </c>
      <c r="W28" s="64">
        <v>9.7167636258356616E-2</v>
      </c>
      <c r="X28" s="64">
        <v>1.0907131259604852</v>
      </c>
      <c r="Y28" s="64">
        <v>5.3448509992593984E-2</v>
      </c>
      <c r="Z28" s="64">
        <v>2.2744340958123662E-2</v>
      </c>
      <c r="AA28" s="64">
        <v>1.0647437749546646E-2</v>
      </c>
      <c r="AB28" s="64">
        <v>1.2345017375768982E-2</v>
      </c>
      <c r="AC28" s="64">
        <v>3.0298778453256379E-2</v>
      </c>
      <c r="AD28" s="64">
        <v>3.2259068718376881E-2</v>
      </c>
      <c r="AE28" s="64">
        <v>2.2258175462869057E-2</v>
      </c>
      <c r="AF28" s="64">
        <v>1.8158442211541774E-2</v>
      </c>
      <c r="AG28" s="64">
        <v>2.7183357452562923E-2</v>
      </c>
      <c r="AH28" s="64">
        <v>2.5413831079813012E-2</v>
      </c>
      <c r="AI28" s="64">
        <v>3.9826051715960445E-2</v>
      </c>
      <c r="AJ28" s="64">
        <v>6.714459016416216E-2</v>
      </c>
      <c r="AK28" s="65">
        <f t="shared" si="0"/>
        <v>2.8685687921458207</v>
      </c>
    </row>
    <row r="29" spans="1:37" ht="13.5" customHeight="1">
      <c r="A29" s="44" t="s">
        <v>72</v>
      </c>
      <c r="B29" s="15" t="s">
        <v>15</v>
      </c>
      <c r="C29" s="63">
        <v>1.7440923196503918E-2</v>
      </c>
      <c r="D29" s="63">
        <v>3.6338674690196332E-2</v>
      </c>
      <c r="E29" s="63">
        <v>2.0398318218691733E-2</v>
      </c>
      <c r="F29" s="63">
        <v>2.2956733098365257E-2</v>
      </c>
      <c r="G29" s="63">
        <v>2.6597712491341331E-2</v>
      </c>
      <c r="H29" s="63">
        <v>5.0930976098353406E-3</v>
      </c>
      <c r="I29" s="63">
        <v>1.6375699616233409E-2</v>
      </c>
      <c r="J29" s="63">
        <v>1.7316725406089604E-2</v>
      </c>
      <c r="K29" s="63">
        <v>2.4369048248668045E-2</v>
      </c>
      <c r="L29" s="63">
        <v>1.4662168509813195E-2</v>
      </c>
      <c r="M29" s="63">
        <v>2.3084292459474888E-2</v>
      </c>
      <c r="N29" s="63">
        <v>1.3801914083120329E-2</v>
      </c>
      <c r="O29" s="63">
        <v>1.6215434731227451E-2</v>
      </c>
      <c r="P29" s="63">
        <v>2.3313541158337683E-2</v>
      </c>
      <c r="Q29" s="63">
        <v>1.9158327635023016E-2</v>
      </c>
      <c r="R29" s="63">
        <v>2.6724294375067587E-2</v>
      </c>
      <c r="S29" s="63">
        <v>4.260821123599913E-2</v>
      </c>
      <c r="T29" s="63">
        <v>8.0352487924698866E-3</v>
      </c>
      <c r="U29" s="63">
        <v>3.1257064351978732E-2</v>
      </c>
      <c r="V29" s="64">
        <v>1.8343760953128906E-2</v>
      </c>
      <c r="W29" s="64">
        <v>5.2281768372245921E-2</v>
      </c>
      <c r="X29" s="64">
        <v>1.7926585348238905E-2</v>
      </c>
      <c r="Y29" s="64">
        <v>1.0220730160703426</v>
      </c>
      <c r="Z29" s="64">
        <v>2.7506337996687474E-2</v>
      </c>
      <c r="AA29" s="64">
        <v>2.8496112144466863E-2</v>
      </c>
      <c r="AB29" s="64">
        <v>1.7621715093778374E-2</v>
      </c>
      <c r="AC29" s="64">
        <v>4.8017507719642867E-2</v>
      </c>
      <c r="AD29" s="64">
        <v>4.3712648102410427E-2</v>
      </c>
      <c r="AE29" s="64">
        <v>3.3338846721407897E-2</v>
      </c>
      <c r="AF29" s="64">
        <v>3.4586975829718571E-2</v>
      </c>
      <c r="AG29" s="64">
        <v>3.4264361501534855E-2</v>
      </c>
      <c r="AH29" s="64">
        <v>4.6620563519780056E-2</v>
      </c>
      <c r="AI29" s="64">
        <v>7.3228088251252224E-2</v>
      </c>
      <c r="AJ29" s="64">
        <v>3.3402353483006575E-2</v>
      </c>
      <c r="AK29" s="65">
        <f t="shared" si="0"/>
        <v>1.9371680710160792</v>
      </c>
    </row>
    <row r="30" spans="1:37" ht="13.5" customHeight="1">
      <c r="A30" s="44" t="s">
        <v>73</v>
      </c>
      <c r="B30" s="15" t="s">
        <v>16</v>
      </c>
      <c r="C30" s="63">
        <v>1.4208937104525018E-2</v>
      </c>
      <c r="D30" s="63">
        <v>2.0971276402833389E-2</v>
      </c>
      <c r="E30" s="63">
        <v>1.8558176796658714E-2</v>
      </c>
      <c r="F30" s="63">
        <v>1.6245143511092207E-2</v>
      </c>
      <c r="G30" s="63">
        <v>2.2720621734866379E-2</v>
      </c>
      <c r="H30" s="63">
        <v>6.9502243086630115E-3</v>
      </c>
      <c r="I30" s="63">
        <v>1.473488734409039E-2</v>
      </c>
      <c r="J30" s="63">
        <v>1.5021268604079069E-2</v>
      </c>
      <c r="K30" s="63">
        <v>1.9693052530239331E-2</v>
      </c>
      <c r="L30" s="63">
        <v>1.3596763155709483E-2</v>
      </c>
      <c r="M30" s="63">
        <v>1.8172350088109118E-2</v>
      </c>
      <c r="N30" s="63">
        <v>1.3630176034915727E-2</v>
      </c>
      <c r="O30" s="63">
        <v>1.521513450649249E-2</v>
      </c>
      <c r="P30" s="63">
        <v>1.8229100983293882E-2</v>
      </c>
      <c r="Q30" s="63">
        <v>1.6905655222333164E-2</v>
      </c>
      <c r="R30" s="63">
        <v>2.7550074844034163E-2</v>
      </c>
      <c r="S30" s="63">
        <v>1.976136962327027E-2</v>
      </c>
      <c r="T30" s="63">
        <v>6.9278291552264436E-3</v>
      </c>
      <c r="U30" s="63">
        <v>3.0439149971076045E-2</v>
      </c>
      <c r="V30" s="64">
        <v>1.9390466334634697E-2</v>
      </c>
      <c r="W30" s="64">
        <v>4.3326109981049056E-2</v>
      </c>
      <c r="X30" s="64">
        <v>2.1086184320941826E-2</v>
      </c>
      <c r="Y30" s="64">
        <v>2.7224241448134501E-2</v>
      </c>
      <c r="Z30" s="64">
        <v>1.15576832457655</v>
      </c>
      <c r="AA30" s="64">
        <v>6.036365978538491E-2</v>
      </c>
      <c r="AB30" s="64">
        <v>1.572574765259082E-2</v>
      </c>
      <c r="AC30" s="64">
        <v>8.482061237587521E-2</v>
      </c>
      <c r="AD30" s="64">
        <v>3.2649125934201766E-2</v>
      </c>
      <c r="AE30" s="64">
        <v>2.8587745191420003E-2</v>
      </c>
      <c r="AF30" s="64">
        <v>4.1338030970847532E-2</v>
      </c>
      <c r="AG30" s="64">
        <v>1.7122006001454894E-2</v>
      </c>
      <c r="AH30" s="64">
        <v>8.2471278860716896E-2</v>
      </c>
      <c r="AI30" s="64">
        <v>3.4785426945944949E-2</v>
      </c>
      <c r="AJ30" s="64">
        <v>3.5504660683186029E-2</v>
      </c>
      <c r="AK30" s="65">
        <f t="shared" si="0"/>
        <v>2.0296948129844412</v>
      </c>
    </row>
    <row r="31" spans="1:37" ht="13.5" customHeight="1">
      <c r="A31" s="44" t="s">
        <v>74</v>
      </c>
      <c r="B31" s="15" t="s">
        <v>17</v>
      </c>
      <c r="C31" s="63">
        <v>3.3405989522254195E-2</v>
      </c>
      <c r="D31" s="63">
        <v>2.9358546950396337E-2</v>
      </c>
      <c r="E31" s="63">
        <v>3.1478424297841215E-2</v>
      </c>
      <c r="F31" s="63">
        <v>3.357130961614415E-2</v>
      </c>
      <c r="G31" s="63">
        <v>3.6620671095556979E-2</v>
      </c>
      <c r="H31" s="63">
        <v>1.1965864728250487E-2</v>
      </c>
      <c r="I31" s="63">
        <v>2.5977614753344362E-2</v>
      </c>
      <c r="J31" s="63">
        <v>2.9178690147329229E-2</v>
      </c>
      <c r="K31" s="63">
        <v>3.3686738132469182E-2</v>
      </c>
      <c r="L31" s="63">
        <v>2.1969200361041608E-2</v>
      </c>
      <c r="M31" s="63">
        <v>3.2302120142059437E-2</v>
      </c>
      <c r="N31" s="63">
        <v>2.0915931053665942E-2</v>
      </c>
      <c r="O31" s="63">
        <v>2.6143603386362874E-2</v>
      </c>
      <c r="P31" s="63">
        <v>3.4171304504504917E-2</v>
      </c>
      <c r="Q31" s="63">
        <v>2.9746830604012953E-2</v>
      </c>
      <c r="R31" s="63">
        <v>3.4153905206159567E-2</v>
      </c>
      <c r="S31" s="63">
        <v>2.2370333168944594E-2</v>
      </c>
      <c r="T31" s="63">
        <v>1.9132172759647237E-2</v>
      </c>
      <c r="U31" s="63">
        <v>3.5905334467390568E-2</v>
      </c>
      <c r="V31" s="64">
        <v>3.1676743207320959E-2</v>
      </c>
      <c r="W31" s="64">
        <v>4.3383009317378159E-2</v>
      </c>
      <c r="X31" s="64">
        <v>2.407019165903106E-2</v>
      </c>
      <c r="Y31" s="64">
        <v>4.1754184212521646E-2</v>
      </c>
      <c r="Z31" s="64">
        <v>2.4773441734899957E-2</v>
      </c>
      <c r="AA31" s="64">
        <v>1.2127987095173174</v>
      </c>
      <c r="AB31" s="64">
        <v>9.9782382886748511E-2</v>
      </c>
      <c r="AC31" s="64">
        <v>2.5468510328123969E-2</v>
      </c>
      <c r="AD31" s="64">
        <v>2.4104106757676293E-2</v>
      </c>
      <c r="AE31" s="64">
        <v>3.0735056852587435E-2</v>
      </c>
      <c r="AF31" s="64">
        <v>3.4225035277934072E-2</v>
      </c>
      <c r="AG31" s="64">
        <v>3.5803100842680298E-2</v>
      </c>
      <c r="AH31" s="64">
        <v>3.386915142477203E-2</v>
      </c>
      <c r="AI31" s="64">
        <v>4.3390795414810321E-2</v>
      </c>
      <c r="AJ31" s="64">
        <v>3.0359484165142763E-2</v>
      </c>
      <c r="AK31" s="65">
        <f t="shared" si="0"/>
        <v>2.2782484884963208</v>
      </c>
    </row>
    <row r="32" spans="1:37" ht="13.5" customHeight="1">
      <c r="A32" s="44" t="s">
        <v>75</v>
      </c>
      <c r="B32" s="15" t="s">
        <v>76</v>
      </c>
      <c r="C32" s="63">
        <v>1.0312718733638808E-2</v>
      </c>
      <c r="D32" s="63">
        <v>1.246189787306057E-2</v>
      </c>
      <c r="E32" s="63">
        <v>1.508098284543472E-2</v>
      </c>
      <c r="F32" s="63">
        <v>1.6559868735801595E-2</v>
      </c>
      <c r="G32" s="63">
        <v>1.6334247230990452E-2</v>
      </c>
      <c r="H32" s="63">
        <v>3.4549508758270056E-3</v>
      </c>
      <c r="I32" s="63">
        <v>1.0275588242412722E-2</v>
      </c>
      <c r="J32" s="63">
        <v>1.0624583567571315E-2</v>
      </c>
      <c r="K32" s="63">
        <v>1.3092592615268886E-2</v>
      </c>
      <c r="L32" s="63">
        <v>8.4633511139489883E-3</v>
      </c>
      <c r="M32" s="63">
        <v>1.159972136567464E-2</v>
      </c>
      <c r="N32" s="63">
        <v>8.2941062792597879E-3</v>
      </c>
      <c r="O32" s="63">
        <v>1.135215980913514E-2</v>
      </c>
      <c r="P32" s="63">
        <v>1.1803779935348636E-2</v>
      </c>
      <c r="Q32" s="63">
        <v>1.1860196146104444E-2</v>
      </c>
      <c r="R32" s="63">
        <v>1.9330037350323199E-2</v>
      </c>
      <c r="S32" s="63">
        <v>1.5649686962710622E-2</v>
      </c>
      <c r="T32" s="63">
        <v>4.8754963495745577E-3</v>
      </c>
      <c r="U32" s="63">
        <v>2.5037860741074527E-2</v>
      </c>
      <c r="V32" s="64">
        <v>1.2471720051603814E-2</v>
      </c>
      <c r="W32" s="64">
        <v>6.1836406117303733E-2</v>
      </c>
      <c r="X32" s="64">
        <v>1.5387248264143146E-2</v>
      </c>
      <c r="Y32" s="64">
        <v>6.231357196184923E-2</v>
      </c>
      <c r="Z32" s="64">
        <v>2.0880548302776265E-2</v>
      </c>
      <c r="AA32" s="64">
        <v>2.5783698044039446E-2</v>
      </c>
      <c r="AB32" s="64">
        <v>1.0360359319025776</v>
      </c>
      <c r="AC32" s="64">
        <v>3.7058835891226417E-2</v>
      </c>
      <c r="AD32" s="64">
        <v>2.4819329769648357E-2</v>
      </c>
      <c r="AE32" s="64">
        <v>8.0315789724617042E-3</v>
      </c>
      <c r="AF32" s="64">
        <v>3.3471507780057738E-2</v>
      </c>
      <c r="AG32" s="64">
        <v>2.8270770012343922E-2</v>
      </c>
      <c r="AH32" s="64">
        <v>2.0644651126699203E-2</v>
      </c>
      <c r="AI32" s="64">
        <v>3.5823994895437437E-2</v>
      </c>
      <c r="AJ32" s="64">
        <v>9.9526537315620927E-3</v>
      </c>
      <c r="AK32" s="65">
        <f t="shared" si="0"/>
        <v>1.6692462735968909</v>
      </c>
    </row>
    <row r="33" spans="1:37" ht="13.5" customHeight="1">
      <c r="A33" s="44" t="s">
        <v>77</v>
      </c>
      <c r="B33" s="15" t="s">
        <v>43</v>
      </c>
      <c r="C33" s="63">
        <v>5.2528613345027612E-2</v>
      </c>
      <c r="D33" s="63">
        <v>8.4812954249118597E-2</v>
      </c>
      <c r="E33" s="63">
        <v>9.3905063915149536E-2</v>
      </c>
      <c r="F33" s="63">
        <v>5.8461887709942463E-2</v>
      </c>
      <c r="G33" s="63">
        <v>6.7739437393952745E-2</v>
      </c>
      <c r="H33" s="63">
        <v>2.5922179698376246E-2</v>
      </c>
      <c r="I33" s="63">
        <v>7.8505841951562988E-2</v>
      </c>
      <c r="J33" s="63">
        <v>7.6151083598469477E-2</v>
      </c>
      <c r="K33" s="63">
        <v>8.5265294005023751E-2</v>
      </c>
      <c r="L33" s="63">
        <v>6.1036664784240593E-2</v>
      </c>
      <c r="M33" s="63">
        <v>7.0101561662051753E-2</v>
      </c>
      <c r="N33" s="63">
        <v>5.1343603492946262E-2</v>
      </c>
      <c r="O33" s="63">
        <v>7.1053503280620905E-2</v>
      </c>
      <c r="P33" s="63">
        <v>7.8066466466313572E-2</v>
      </c>
      <c r="Q33" s="63">
        <v>7.7661412803266161E-2</v>
      </c>
      <c r="R33" s="63">
        <v>8.8367176032483633E-2</v>
      </c>
      <c r="S33" s="63">
        <v>7.3858135383279622E-2</v>
      </c>
      <c r="T33" s="63">
        <v>2.9116495389777626E-2</v>
      </c>
      <c r="U33" s="63">
        <v>0.10664893265573708</v>
      </c>
      <c r="V33" s="64">
        <v>0.11932910553047982</v>
      </c>
      <c r="W33" s="64">
        <v>7.5361144191200602E-2</v>
      </c>
      <c r="X33" s="64">
        <v>5.4628364206064338E-2</v>
      </c>
      <c r="Y33" s="64">
        <v>6.7726525079054245E-2</v>
      </c>
      <c r="Z33" s="64">
        <v>7.9474612488977137E-2</v>
      </c>
      <c r="AA33" s="64">
        <v>4.1390688326197814E-2</v>
      </c>
      <c r="AB33" s="64">
        <v>3.5874809012144723E-2</v>
      </c>
      <c r="AC33" s="64">
        <v>1.0886214968680397</v>
      </c>
      <c r="AD33" s="64">
        <v>6.8503799624086009E-2</v>
      </c>
      <c r="AE33" s="64">
        <v>2.9591678354692747E-2</v>
      </c>
      <c r="AF33" s="64">
        <v>4.8972898505943323E-2</v>
      </c>
      <c r="AG33" s="64">
        <v>3.1072567602017966E-2</v>
      </c>
      <c r="AH33" s="64">
        <v>4.6883900748917677E-2</v>
      </c>
      <c r="AI33" s="64">
        <v>6.395122735017475E-2</v>
      </c>
      <c r="AJ33" s="64">
        <v>3.5341404013325396E-2</v>
      </c>
      <c r="AK33" s="65">
        <f t="shared" si="0"/>
        <v>3.2172705297186561</v>
      </c>
    </row>
    <row r="34" spans="1:37" ht="13.5" customHeight="1">
      <c r="A34" s="44" t="s">
        <v>78</v>
      </c>
      <c r="B34" s="15" t="s">
        <v>18</v>
      </c>
      <c r="C34" s="63">
        <v>1.6724207047009377E-2</v>
      </c>
      <c r="D34" s="63">
        <v>7.2601335581879908E-2</v>
      </c>
      <c r="E34" s="63">
        <v>2.468348576361196E-2</v>
      </c>
      <c r="F34" s="63">
        <v>2.6477226736996044E-2</v>
      </c>
      <c r="G34" s="63">
        <v>3.3010633395577367E-2</v>
      </c>
      <c r="H34" s="63">
        <v>8.5720821327831629E-3</v>
      </c>
      <c r="I34" s="63">
        <v>2.0146646447624983E-2</v>
      </c>
      <c r="J34" s="63">
        <v>2.1990148735091853E-2</v>
      </c>
      <c r="K34" s="63">
        <v>3.3718956723312571E-2</v>
      </c>
      <c r="L34" s="63">
        <v>2.6315353687361629E-2</v>
      </c>
      <c r="M34" s="63">
        <v>3.0823904697119431E-2</v>
      </c>
      <c r="N34" s="63">
        <v>2.1645310897702965E-2</v>
      </c>
      <c r="O34" s="63">
        <v>2.2266634530424004E-2</v>
      </c>
      <c r="P34" s="63">
        <v>2.6015663784137683E-2</v>
      </c>
      <c r="Q34" s="63">
        <v>3.4857794466946875E-2</v>
      </c>
      <c r="R34" s="63">
        <v>3.11064499122168E-2</v>
      </c>
      <c r="S34" s="63">
        <v>6.5431608922846385E-2</v>
      </c>
      <c r="T34" s="63">
        <v>1.6638577717471213E-2</v>
      </c>
      <c r="U34" s="63">
        <v>5.6087369724617343E-2</v>
      </c>
      <c r="V34" s="64">
        <v>4.880800286757507E-2</v>
      </c>
      <c r="W34" s="64">
        <v>4.3849595788244718E-2</v>
      </c>
      <c r="X34" s="64">
        <v>4.8192039702482502E-2</v>
      </c>
      <c r="Y34" s="64">
        <v>2.8535492401566578E-2</v>
      </c>
      <c r="Z34" s="64">
        <v>5.8153010343843001E-2</v>
      </c>
      <c r="AA34" s="64">
        <v>5.4195423514311947E-2</v>
      </c>
      <c r="AB34" s="64">
        <v>5.9082683950220462E-2</v>
      </c>
      <c r="AC34" s="64">
        <v>6.3534892517473476E-2</v>
      </c>
      <c r="AD34" s="64">
        <v>1.0883016157596241</v>
      </c>
      <c r="AE34" s="64">
        <v>3.5080360204843453E-2</v>
      </c>
      <c r="AF34" s="64">
        <v>3.7692173986291808E-2</v>
      </c>
      <c r="AG34" s="64">
        <v>2.6435414362430895E-2</v>
      </c>
      <c r="AH34" s="64">
        <v>6.7035524909713762E-2</v>
      </c>
      <c r="AI34" s="64">
        <v>2.981863345944908E-2</v>
      </c>
      <c r="AJ34" s="64">
        <v>3.642280157243321E-2</v>
      </c>
      <c r="AK34" s="65">
        <f t="shared" si="0"/>
        <v>2.3142510562452356</v>
      </c>
    </row>
    <row r="35" spans="1:37" ht="13.5" customHeight="1">
      <c r="A35" s="44" t="s">
        <v>79</v>
      </c>
      <c r="B35" s="15" t="s">
        <v>80</v>
      </c>
      <c r="C35" s="63">
        <v>4.3329842085211203E-3</v>
      </c>
      <c r="D35" s="63">
        <v>3.7808162329102382E-3</v>
      </c>
      <c r="E35" s="63">
        <v>2.1715288906014488E-3</v>
      </c>
      <c r="F35" s="63">
        <v>1.3906296588825748E-3</v>
      </c>
      <c r="G35" s="63">
        <v>2.5961936484177502E-3</v>
      </c>
      <c r="H35" s="63">
        <v>9.6232915340675762E-4</v>
      </c>
      <c r="I35" s="63">
        <v>3.0051873613959005E-3</v>
      </c>
      <c r="J35" s="63">
        <v>3.0415267196972013E-3</v>
      </c>
      <c r="K35" s="63">
        <v>1.7901945490018699E-3</v>
      </c>
      <c r="L35" s="63">
        <v>8.9544442951936811E-4</v>
      </c>
      <c r="M35" s="63">
        <v>2.002122717581249E-3</v>
      </c>
      <c r="N35" s="63">
        <v>9.365570087343601E-4</v>
      </c>
      <c r="O35" s="63">
        <v>1.2005293135396527E-3</v>
      </c>
      <c r="P35" s="63">
        <v>1.6494469000880674E-3</v>
      </c>
      <c r="Q35" s="63">
        <v>1.1533537979451763E-3</v>
      </c>
      <c r="R35" s="63">
        <v>1.9900921513818872E-3</v>
      </c>
      <c r="S35" s="63">
        <v>5.2427658673487691E-3</v>
      </c>
      <c r="T35" s="63">
        <v>1.3077765845391554E-3</v>
      </c>
      <c r="U35" s="63">
        <v>1.8428546508549386E-3</v>
      </c>
      <c r="V35" s="64">
        <v>9.9938860921288905E-4</v>
      </c>
      <c r="W35" s="64">
        <v>1.8966440066920858E-3</v>
      </c>
      <c r="X35" s="64">
        <v>2.0326901819392148E-3</v>
      </c>
      <c r="Y35" s="64">
        <v>2.3443296289232464E-3</v>
      </c>
      <c r="Z35" s="64">
        <v>2.4700373182929749E-3</v>
      </c>
      <c r="AA35" s="64">
        <v>6.7463899771633194E-4</v>
      </c>
      <c r="AB35" s="64">
        <v>2.1298973780376931E-3</v>
      </c>
      <c r="AC35" s="64">
        <v>1.4090738360582147E-3</v>
      </c>
      <c r="AD35" s="64">
        <v>1.7797672815345338E-3</v>
      </c>
      <c r="AE35" s="64">
        <v>1.0005987187850338</v>
      </c>
      <c r="AF35" s="64">
        <v>7.9489740976877786E-4</v>
      </c>
      <c r="AG35" s="64">
        <v>2.2821815558858915E-3</v>
      </c>
      <c r="AH35" s="64">
        <v>2.1860700589332268E-3</v>
      </c>
      <c r="AI35" s="64">
        <v>1.4814286841774676E-3</v>
      </c>
      <c r="AJ35" s="64">
        <v>0.88177894305204685</v>
      </c>
      <c r="AK35" s="65">
        <f t="shared" si="0"/>
        <v>1.9461510406286207</v>
      </c>
    </row>
    <row r="36" spans="1:37" ht="13.5" customHeight="1">
      <c r="A36" s="44" t="s">
        <v>81</v>
      </c>
      <c r="B36" s="15" t="s">
        <v>19</v>
      </c>
      <c r="C36" s="63">
        <v>6.2805772692386117E-4</v>
      </c>
      <c r="D36" s="63">
        <v>8.9994104535422767E-4</v>
      </c>
      <c r="E36" s="63">
        <v>1.0310006685072327E-3</v>
      </c>
      <c r="F36" s="63">
        <v>9.8560109015727402E-4</v>
      </c>
      <c r="G36" s="63">
        <v>1.2542174980696313E-3</v>
      </c>
      <c r="H36" s="63">
        <v>3.7150245779865652E-4</v>
      </c>
      <c r="I36" s="63">
        <v>9.8158053900308426E-4</v>
      </c>
      <c r="J36" s="63">
        <v>1.0701741964049666E-3</v>
      </c>
      <c r="K36" s="63">
        <v>1.1752678478418373E-3</v>
      </c>
      <c r="L36" s="63">
        <v>9.7494207455203112E-4</v>
      </c>
      <c r="M36" s="63">
        <v>1.6728030130852588E-3</v>
      </c>
      <c r="N36" s="63">
        <v>8.4911009228435695E-4</v>
      </c>
      <c r="O36" s="63">
        <v>1.210199481453533E-3</v>
      </c>
      <c r="P36" s="63">
        <v>1.5601006724080583E-3</v>
      </c>
      <c r="Q36" s="63">
        <v>1.1024720830133488E-3</v>
      </c>
      <c r="R36" s="63">
        <v>1.1705524836233851E-3</v>
      </c>
      <c r="S36" s="63">
        <v>3.5227527260665455E-3</v>
      </c>
      <c r="T36" s="63">
        <v>4.6216449983910298E-4</v>
      </c>
      <c r="U36" s="63">
        <v>1.2864629505025961E-3</v>
      </c>
      <c r="V36" s="64">
        <v>9.7781193835218012E-4</v>
      </c>
      <c r="W36" s="64">
        <v>2.7386909582025089E-3</v>
      </c>
      <c r="X36" s="64">
        <v>7.0406612174123801E-4</v>
      </c>
      <c r="Y36" s="64">
        <v>1.1945489129899488E-3</v>
      </c>
      <c r="Z36" s="64">
        <v>1.2259925069262052E-3</v>
      </c>
      <c r="AA36" s="64">
        <v>2.0211600121536966E-3</v>
      </c>
      <c r="AB36" s="64">
        <v>1.0677902966497186E-3</v>
      </c>
      <c r="AC36" s="64">
        <v>1.73105701636418E-3</v>
      </c>
      <c r="AD36" s="64">
        <v>1.0501172460531084E-3</v>
      </c>
      <c r="AE36" s="64">
        <v>3.0922917470214533E-4</v>
      </c>
      <c r="AF36" s="64">
        <v>1.000887632072756</v>
      </c>
      <c r="AG36" s="64">
        <v>6.0441458338885616E-4</v>
      </c>
      <c r="AH36" s="64">
        <v>8.3990606384661047E-4</v>
      </c>
      <c r="AI36" s="64">
        <v>1.8159930709051226E-3</v>
      </c>
      <c r="AJ36" s="64">
        <v>5.3546113113721479E-4</v>
      </c>
      <c r="AK36" s="65">
        <f t="shared" si="0"/>
        <v>1.0399127742530578</v>
      </c>
    </row>
    <row r="37" spans="1:37" ht="13.5" customHeight="1">
      <c r="A37" s="44" t="s">
        <v>82</v>
      </c>
      <c r="B37" s="15" t="s">
        <v>83</v>
      </c>
      <c r="C37" s="63">
        <v>2.3006503203826935E-3</v>
      </c>
      <c r="D37" s="63">
        <v>4.0121921241152193E-3</v>
      </c>
      <c r="E37" s="63">
        <v>2.3420485943143978E-3</v>
      </c>
      <c r="F37" s="63">
        <v>2.1109311509151553E-3</v>
      </c>
      <c r="G37" s="63">
        <v>2.8207535401952523E-3</v>
      </c>
      <c r="H37" s="63">
        <v>5.10737836619704E-4</v>
      </c>
      <c r="I37" s="63">
        <v>1.629205736884594E-3</v>
      </c>
      <c r="J37" s="63">
        <v>1.7813834755468279E-3</v>
      </c>
      <c r="K37" s="63">
        <v>2.4177881404988328E-3</v>
      </c>
      <c r="L37" s="63">
        <v>1.5614649306428569E-3</v>
      </c>
      <c r="M37" s="63">
        <v>2.704152026104396E-3</v>
      </c>
      <c r="N37" s="63">
        <v>1.3520286225745732E-3</v>
      </c>
      <c r="O37" s="63">
        <v>1.891827272123243E-3</v>
      </c>
      <c r="P37" s="63">
        <v>2.7270022849796289E-3</v>
      </c>
      <c r="Q37" s="63">
        <v>2.448364301368031E-3</v>
      </c>
      <c r="R37" s="63">
        <v>2.7136497882140308E-3</v>
      </c>
      <c r="S37" s="63">
        <v>3.5569854968584562E-3</v>
      </c>
      <c r="T37" s="63">
        <v>7.4425500079989269E-4</v>
      </c>
      <c r="U37" s="63">
        <v>4.7843158245360765E-3</v>
      </c>
      <c r="V37" s="64">
        <v>2.5350274255591851E-3</v>
      </c>
      <c r="W37" s="64">
        <v>4.3453703639004197E-3</v>
      </c>
      <c r="X37" s="64">
        <v>1.4402896331460943E-3</v>
      </c>
      <c r="Y37" s="64">
        <v>3.7712391951833248E-3</v>
      </c>
      <c r="Z37" s="64">
        <v>2.4619319919512005E-3</v>
      </c>
      <c r="AA37" s="64">
        <v>2.7875808385474285E-3</v>
      </c>
      <c r="AB37" s="64">
        <v>1.5951387297585022E-3</v>
      </c>
      <c r="AC37" s="64">
        <v>3.3033479291016601E-3</v>
      </c>
      <c r="AD37" s="64">
        <v>2.8613501413711153E-3</v>
      </c>
      <c r="AE37" s="64">
        <v>9.5833820291076261E-4</v>
      </c>
      <c r="AF37" s="64">
        <v>2.722382976861607E-3</v>
      </c>
      <c r="AG37" s="64">
        <v>1.0034084714226146</v>
      </c>
      <c r="AH37" s="64">
        <v>4.3122501998932973E-3</v>
      </c>
      <c r="AI37" s="64">
        <v>3.3854738110745426E-3</v>
      </c>
      <c r="AJ37" s="64">
        <v>1.2619753107157388E-3</v>
      </c>
      <c r="AK37" s="65">
        <f t="shared" si="0"/>
        <v>1.0855599046402633</v>
      </c>
    </row>
    <row r="38" spans="1:37" ht="13.5" customHeight="1">
      <c r="A38" s="44" t="s">
        <v>84</v>
      </c>
      <c r="B38" s="15" t="s">
        <v>85</v>
      </c>
      <c r="C38" s="63">
        <v>2.3865785509329372E-3</v>
      </c>
      <c r="D38" s="63">
        <v>9.365835131783122E-3</v>
      </c>
      <c r="E38" s="63">
        <v>2.8636450992572423E-3</v>
      </c>
      <c r="F38" s="63">
        <v>3.2426583199702433E-3</v>
      </c>
      <c r="G38" s="63">
        <v>4.0569268664189537E-3</v>
      </c>
      <c r="H38" s="63">
        <v>9.2133271653911306E-4</v>
      </c>
      <c r="I38" s="63">
        <v>2.5135206969093167E-3</v>
      </c>
      <c r="J38" s="63">
        <v>2.6607127649483971E-3</v>
      </c>
      <c r="K38" s="63">
        <v>4.2017334532129776E-3</v>
      </c>
      <c r="L38" s="63">
        <v>3.0160111948679537E-3</v>
      </c>
      <c r="M38" s="63">
        <v>4.1597506606750705E-3</v>
      </c>
      <c r="N38" s="63">
        <v>1.6524149386039344E-3</v>
      </c>
      <c r="O38" s="63">
        <v>2.536696548856679E-3</v>
      </c>
      <c r="P38" s="63">
        <v>3.5457735621634754E-3</v>
      </c>
      <c r="Q38" s="63">
        <v>2.4543009763605609E-3</v>
      </c>
      <c r="R38" s="63">
        <v>3.5901078360371938E-3</v>
      </c>
      <c r="S38" s="63">
        <v>4.9536705009340107E-3</v>
      </c>
      <c r="T38" s="63">
        <v>1.0861876212313424E-3</v>
      </c>
      <c r="U38" s="63">
        <v>5.3409606094129399E-3</v>
      </c>
      <c r="V38" s="64">
        <v>3.0749132524513813E-3</v>
      </c>
      <c r="W38" s="64">
        <v>2.8287320729172127E-3</v>
      </c>
      <c r="X38" s="64">
        <v>4.3748716005193771E-3</v>
      </c>
      <c r="Y38" s="64">
        <v>2.6132561236059449E-3</v>
      </c>
      <c r="Z38" s="64">
        <v>1.0457960246629547E-2</v>
      </c>
      <c r="AA38" s="64">
        <v>4.5453971424448923E-3</v>
      </c>
      <c r="AB38" s="64">
        <v>2.2206002764608283E-3</v>
      </c>
      <c r="AC38" s="64">
        <v>7.6543323019512693E-3</v>
      </c>
      <c r="AD38" s="64">
        <v>5.4530831856360318E-3</v>
      </c>
      <c r="AE38" s="64">
        <v>1.6705096821801834E-3</v>
      </c>
      <c r="AF38" s="64">
        <v>8.7325885103052125E-3</v>
      </c>
      <c r="AG38" s="64">
        <v>2.7254238181286176E-3</v>
      </c>
      <c r="AH38" s="64">
        <v>1.0396886193995309</v>
      </c>
      <c r="AI38" s="64">
        <v>6.350294886958918E-3</v>
      </c>
      <c r="AJ38" s="64">
        <v>2.2599550750813419E-3</v>
      </c>
      <c r="AK38" s="65">
        <f t="shared" si="0"/>
        <v>1.1691993556239171</v>
      </c>
    </row>
    <row r="39" spans="1:37" ht="13.5" customHeight="1">
      <c r="A39" s="44" t="s">
        <v>86</v>
      </c>
      <c r="B39" s="15" t="s">
        <v>87</v>
      </c>
      <c r="C39" s="63">
        <v>4.5129776400910379E-3</v>
      </c>
      <c r="D39" s="63">
        <v>1.1451611931990874E-2</v>
      </c>
      <c r="E39" s="63">
        <v>6.2517856840969676E-3</v>
      </c>
      <c r="F39" s="63">
        <v>5.6496190960188038E-3</v>
      </c>
      <c r="G39" s="63">
        <v>6.5780720802027359E-3</v>
      </c>
      <c r="H39" s="63">
        <v>1.8060858201994919E-3</v>
      </c>
      <c r="I39" s="63">
        <v>4.2795216429250748E-3</v>
      </c>
      <c r="J39" s="63">
        <v>4.4632626323350627E-3</v>
      </c>
      <c r="K39" s="63">
        <v>8.9585120907289956E-3</v>
      </c>
      <c r="L39" s="63">
        <v>5.1431554361953237E-3</v>
      </c>
      <c r="M39" s="63">
        <v>6.9703061816739726E-3</v>
      </c>
      <c r="N39" s="63">
        <v>3.7253731609042566E-3</v>
      </c>
      <c r="O39" s="63">
        <v>5.1357645150834162E-3</v>
      </c>
      <c r="P39" s="63">
        <v>6.5809449139344108E-3</v>
      </c>
      <c r="Q39" s="63">
        <v>5.3353669866600811E-3</v>
      </c>
      <c r="R39" s="63">
        <v>6.3098344284012184E-3</v>
      </c>
      <c r="S39" s="63">
        <v>1.057891929401328E-2</v>
      </c>
      <c r="T39" s="63">
        <v>1.7857480850838631E-3</v>
      </c>
      <c r="U39" s="63">
        <v>1.3479592617022841E-2</v>
      </c>
      <c r="V39" s="64">
        <v>5.9808493034513594E-3</v>
      </c>
      <c r="W39" s="64">
        <v>1.1884756322536596E-2</v>
      </c>
      <c r="X39" s="64">
        <v>1.8111017052220641E-2</v>
      </c>
      <c r="Y39" s="64">
        <v>7.14656517734703E-3</v>
      </c>
      <c r="Z39" s="64">
        <v>6.230718819248836E-3</v>
      </c>
      <c r="AA39" s="64">
        <v>6.408623474716703E-3</v>
      </c>
      <c r="AB39" s="64">
        <v>3.6191987308092839E-3</v>
      </c>
      <c r="AC39" s="64">
        <v>1.0358434566698242E-2</v>
      </c>
      <c r="AD39" s="64">
        <v>1.2960453363347902E-2</v>
      </c>
      <c r="AE39" s="64">
        <v>3.394102906165034E-3</v>
      </c>
      <c r="AF39" s="64">
        <v>1.0728758753084973E-2</v>
      </c>
      <c r="AG39" s="64">
        <v>4.4515292519139568E-3</v>
      </c>
      <c r="AH39" s="64">
        <v>1.1176697133058248E-2</v>
      </c>
      <c r="AI39" s="64">
        <v>1.0106209776868353</v>
      </c>
      <c r="AJ39" s="64">
        <v>4.360490671165407E-3</v>
      </c>
      <c r="AK39" s="65">
        <f t="shared" si="0"/>
        <v>1.2464296274501612</v>
      </c>
    </row>
    <row r="40" spans="1:37" ht="13.5" customHeight="1">
      <c r="A40" s="44" t="s">
        <v>88</v>
      </c>
      <c r="B40" s="15" t="s">
        <v>89</v>
      </c>
      <c r="C40" s="63">
        <v>4.9569205615521651E-3</v>
      </c>
      <c r="D40" s="63">
        <v>4.1326323050963187E-3</v>
      </c>
      <c r="E40" s="63">
        <v>2.417412932087663E-3</v>
      </c>
      <c r="F40" s="63">
        <v>1.5157606149037819E-3</v>
      </c>
      <c r="G40" s="63">
        <v>2.8980645996374427E-3</v>
      </c>
      <c r="H40" s="63">
        <v>1.0931829780335132E-3</v>
      </c>
      <c r="I40" s="63">
        <v>3.4064101437084947E-3</v>
      </c>
      <c r="J40" s="63">
        <v>3.449374607895139E-3</v>
      </c>
      <c r="K40" s="63">
        <v>1.8325141464597507E-3</v>
      </c>
      <c r="L40" s="63">
        <v>9.6498890094022245E-4</v>
      </c>
      <c r="M40" s="63">
        <v>2.2367716863536309E-3</v>
      </c>
      <c r="N40" s="63">
        <v>1.0434767827421363E-3</v>
      </c>
      <c r="O40" s="63">
        <v>1.3309823851515947E-3</v>
      </c>
      <c r="P40" s="63">
        <v>1.8374585228027708E-3</v>
      </c>
      <c r="Q40" s="63">
        <v>1.2740440671502901E-3</v>
      </c>
      <c r="R40" s="63">
        <v>2.2027146855200111E-3</v>
      </c>
      <c r="S40" s="63">
        <v>6.0283207649834006E-3</v>
      </c>
      <c r="T40" s="63">
        <v>1.4967707832951938E-3</v>
      </c>
      <c r="U40" s="63">
        <v>1.9961311714661481E-3</v>
      </c>
      <c r="V40" s="64">
        <v>1.091574288370115E-3</v>
      </c>
      <c r="W40" s="64">
        <v>2.0631276419323828E-3</v>
      </c>
      <c r="X40" s="64">
        <v>8.1277952684110071E-4</v>
      </c>
      <c r="Y40" s="64">
        <v>2.6445840953272905E-3</v>
      </c>
      <c r="Z40" s="64">
        <v>2.8339731859755688E-3</v>
      </c>
      <c r="AA40" s="64">
        <v>7.6775403577559998E-4</v>
      </c>
      <c r="AB40" s="64">
        <v>2.4540173279477312E-3</v>
      </c>
      <c r="AC40" s="64">
        <v>1.5921328518637562E-3</v>
      </c>
      <c r="AD40" s="64">
        <v>2.0195039123350081E-3</v>
      </c>
      <c r="AE40" s="64">
        <v>6.6320023649469109E-4</v>
      </c>
      <c r="AF40" s="64">
        <v>8.9665504646321544E-4</v>
      </c>
      <c r="AG40" s="64">
        <v>2.6096952666525078E-3</v>
      </c>
      <c r="AH40" s="64">
        <v>2.5006763693005037E-3</v>
      </c>
      <c r="AI40" s="64">
        <v>1.6625891911904722E-3</v>
      </c>
      <c r="AJ40" s="64">
        <v>1.0231135763321808</v>
      </c>
      <c r="AK40" s="65">
        <f t="shared" si="0"/>
        <v>1.0938397719484305</v>
      </c>
    </row>
    <row r="41" spans="1:37" ht="13.5" customHeight="1">
      <c r="A41" s="46" t="s">
        <v>91</v>
      </c>
      <c r="B41" s="16" t="s">
        <v>20</v>
      </c>
      <c r="C41" s="63">
        <f>SUM(C7:C40)</f>
        <v>1.9640692391700603</v>
      </c>
      <c r="D41" s="63">
        <f t="shared" ref="D41:AK41" si="1">SUM(D7:D40)</f>
        <v>2.0610518132303448</v>
      </c>
      <c r="E41" s="63">
        <f t="shared" si="1"/>
        <v>2.2073069685023912</v>
      </c>
      <c r="F41" s="63">
        <f t="shared" si="1"/>
        <v>1.9279229095352817</v>
      </c>
      <c r="G41" s="63">
        <f t="shared" si="1"/>
        <v>2.1473848910117117</v>
      </c>
      <c r="H41" s="63">
        <f t="shared" si="1"/>
        <v>1.2861811024899441</v>
      </c>
      <c r="I41" s="63">
        <f t="shared" si="1"/>
        <v>1.8894754613810811</v>
      </c>
      <c r="J41" s="63">
        <f t="shared" si="1"/>
        <v>2.4478375958946614</v>
      </c>
      <c r="K41" s="63">
        <f t="shared" si="1"/>
        <v>2.2092919799306348</v>
      </c>
      <c r="L41" s="63">
        <f t="shared" si="1"/>
        <v>1.8184120656979734</v>
      </c>
      <c r="M41" s="63">
        <f t="shared" si="1"/>
        <v>2.1520941698008702</v>
      </c>
      <c r="N41" s="63">
        <f t="shared" si="1"/>
        <v>1.7180938729222803</v>
      </c>
      <c r="O41" s="63">
        <f t="shared" si="1"/>
        <v>2.0322459572270439</v>
      </c>
      <c r="P41" s="63">
        <f t="shared" si="1"/>
        <v>2.1886423141218754</v>
      </c>
      <c r="Q41" s="63">
        <f t="shared" si="1"/>
        <v>2.4136538089348467</v>
      </c>
      <c r="R41" s="63">
        <f t="shared" si="1"/>
        <v>2.1771803969515009</v>
      </c>
      <c r="S41" s="63">
        <f t="shared" si="1"/>
        <v>1.9670532700868468</v>
      </c>
      <c r="T41" s="63">
        <f t="shared" si="1"/>
        <v>1.526567906434616</v>
      </c>
      <c r="U41" s="63">
        <f t="shared" si="1"/>
        <v>1.9742662540757967</v>
      </c>
      <c r="V41" s="63">
        <f t="shared" si="1"/>
        <v>2.0583776621029886</v>
      </c>
      <c r="W41" s="63">
        <f t="shared" si="1"/>
        <v>1.7556240043925651</v>
      </c>
      <c r="X41" s="63">
        <f t="shared" si="1"/>
        <v>1.6437186700995634</v>
      </c>
      <c r="Y41" s="63">
        <f t="shared" si="1"/>
        <v>2.2077707542835037</v>
      </c>
      <c r="Z41" s="63">
        <f t="shared" si="1"/>
        <v>1.6782750672417837</v>
      </c>
      <c r="AA41" s="63">
        <f t="shared" si="1"/>
        <v>1.5642326775992876</v>
      </c>
      <c r="AB41" s="63">
        <f t="shared" si="1"/>
        <v>1.5173026912957261</v>
      </c>
      <c r="AC41" s="63">
        <f t="shared" si="1"/>
        <v>1.7974841013733178</v>
      </c>
      <c r="AD41" s="63">
        <f t="shared" si="1"/>
        <v>1.6570150948133553</v>
      </c>
      <c r="AE41" s="63">
        <f t="shared" si="1"/>
        <v>1.4181043151024422</v>
      </c>
      <c r="AF41" s="63">
        <f t="shared" si="1"/>
        <v>1.5690043196959571</v>
      </c>
      <c r="AG41" s="63">
        <f t="shared" si="1"/>
        <v>1.641620525556059</v>
      </c>
      <c r="AH41" s="63">
        <f t="shared" si="1"/>
        <v>1.7528036767017903</v>
      </c>
      <c r="AI41" s="63">
        <f t="shared" si="1"/>
        <v>2.0068955068959222</v>
      </c>
      <c r="AJ41" s="63">
        <f t="shared" si="1"/>
        <v>2.4846286026875553</v>
      </c>
      <c r="AK41" s="63">
        <f t="shared" si="1"/>
        <v>64.861589647241573</v>
      </c>
    </row>
    <row r="44" spans="1:37" ht="13.5" hidden="1" customHeight="1"/>
    <row r="45" spans="1:37" ht="13.5" hidden="1" customHeight="1"/>
    <row r="46" spans="1:37" ht="13.5" hidden="1" customHeight="1"/>
    <row r="47" spans="1:37" ht="13.5" hidden="1" customHeight="1">
      <c r="A47" s="182" t="s">
        <v>25</v>
      </c>
      <c r="B47" s="183"/>
      <c r="C47" s="32" t="s">
        <v>44</v>
      </c>
      <c r="D47" s="32" t="s">
        <v>45</v>
      </c>
      <c r="E47" s="32" t="s">
        <v>46</v>
      </c>
      <c r="F47" s="33" t="s">
        <v>47</v>
      </c>
      <c r="G47" s="34" t="s">
        <v>48</v>
      </c>
      <c r="H47" s="34" t="s">
        <v>49</v>
      </c>
      <c r="I47" s="34" t="s">
        <v>50</v>
      </c>
      <c r="J47" s="34"/>
      <c r="K47" s="34" t="s">
        <v>51</v>
      </c>
      <c r="L47" s="34" t="s">
        <v>52</v>
      </c>
      <c r="M47" s="34" t="s">
        <v>53</v>
      </c>
      <c r="N47" s="34" t="s">
        <v>55</v>
      </c>
      <c r="O47" s="34" t="s">
        <v>57</v>
      </c>
      <c r="P47" s="34" t="s">
        <v>59</v>
      </c>
      <c r="Q47" s="34" t="s">
        <v>60</v>
      </c>
      <c r="R47" s="34" t="s">
        <v>61</v>
      </c>
      <c r="S47" s="34" t="s">
        <v>63</v>
      </c>
      <c r="T47" s="34" t="s">
        <v>65</v>
      </c>
      <c r="U47" s="34" t="s">
        <v>66</v>
      </c>
      <c r="V47" s="34" t="s">
        <v>68</v>
      </c>
      <c r="W47" s="34" t="s">
        <v>69</v>
      </c>
      <c r="X47" s="34" t="s">
        <v>71</v>
      </c>
      <c r="Y47" s="34" t="s">
        <v>72</v>
      </c>
      <c r="Z47" s="34" t="s">
        <v>73</v>
      </c>
      <c r="AA47" s="34" t="s">
        <v>74</v>
      </c>
      <c r="AB47" s="34" t="s">
        <v>75</v>
      </c>
      <c r="AC47" s="34" t="s">
        <v>77</v>
      </c>
      <c r="AD47" s="34" t="s">
        <v>78</v>
      </c>
      <c r="AE47" s="34" t="s">
        <v>79</v>
      </c>
      <c r="AF47" s="34" t="s">
        <v>81</v>
      </c>
      <c r="AG47" s="34" t="s">
        <v>82</v>
      </c>
      <c r="AH47" s="34" t="s">
        <v>84</v>
      </c>
      <c r="AI47" s="34" t="s">
        <v>86</v>
      </c>
      <c r="AJ47" s="34" t="s">
        <v>88</v>
      </c>
      <c r="AK47" s="35" t="s">
        <v>98</v>
      </c>
    </row>
    <row r="48" spans="1:37" ht="13.5" hidden="1" customHeight="1">
      <c r="A48" s="184"/>
      <c r="B48" s="185"/>
      <c r="C48" s="51" t="s">
        <v>2</v>
      </c>
      <c r="D48" s="51" t="s">
        <v>3</v>
      </c>
      <c r="E48" s="51" t="s">
        <v>4</v>
      </c>
      <c r="F48" s="51" t="s">
        <v>5</v>
      </c>
      <c r="G48" s="51" t="s">
        <v>6</v>
      </c>
      <c r="H48" s="51" t="s">
        <v>7</v>
      </c>
      <c r="I48" s="51" t="s">
        <v>8</v>
      </c>
      <c r="J48" s="51"/>
      <c r="K48" s="51" t="s">
        <v>9</v>
      </c>
      <c r="L48" s="51" t="s">
        <v>10</v>
      </c>
      <c r="M48" s="51" t="s">
        <v>54</v>
      </c>
      <c r="N48" s="51" t="s">
        <v>56</v>
      </c>
      <c r="O48" s="51" t="s">
        <v>58</v>
      </c>
      <c r="P48" s="51" t="s">
        <v>11</v>
      </c>
      <c r="Q48" s="51" t="s">
        <v>12</v>
      </c>
      <c r="R48" s="51" t="s">
        <v>62</v>
      </c>
      <c r="S48" s="51" t="s">
        <v>64</v>
      </c>
      <c r="T48" s="51" t="s">
        <v>13</v>
      </c>
      <c r="U48" s="51" t="s">
        <v>67</v>
      </c>
      <c r="V48" s="51" t="s">
        <v>14</v>
      </c>
      <c r="W48" s="51" t="s">
        <v>70</v>
      </c>
      <c r="X48" s="51" t="s">
        <v>42</v>
      </c>
      <c r="Y48" s="51" t="s">
        <v>15</v>
      </c>
      <c r="Z48" s="51" t="s">
        <v>16</v>
      </c>
      <c r="AA48" s="51" t="s">
        <v>17</v>
      </c>
      <c r="AB48" s="51" t="s">
        <v>76</v>
      </c>
      <c r="AC48" s="51" t="s">
        <v>43</v>
      </c>
      <c r="AD48" s="51" t="s">
        <v>18</v>
      </c>
      <c r="AE48" s="51" t="s">
        <v>80</v>
      </c>
      <c r="AF48" s="51" t="s">
        <v>19</v>
      </c>
      <c r="AG48" s="51" t="s">
        <v>83</v>
      </c>
      <c r="AH48" s="51" t="s">
        <v>85</v>
      </c>
      <c r="AI48" s="51" t="s">
        <v>87</v>
      </c>
      <c r="AJ48" s="51" t="s">
        <v>89</v>
      </c>
      <c r="AK48" s="23" t="s">
        <v>26</v>
      </c>
    </row>
    <row r="49" spans="1:37" ht="13.5" hidden="1" customHeight="1">
      <c r="A49" s="44" t="s">
        <v>44</v>
      </c>
      <c r="B49" s="15" t="s">
        <v>2</v>
      </c>
      <c r="C49" s="63" cm="1">
        <f t="array" ref="C49:AJ82">_xlfn.MUNIT(COLUMNS(Ad!C42:AJ42))*Ad!C42:AJ42</f>
        <v>0.35384181542521381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5"/>
    </row>
    <row r="50" spans="1:37" ht="13.5" hidden="1" customHeight="1">
      <c r="A50" s="44" t="s">
        <v>45</v>
      </c>
      <c r="B50" s="15" t="s">
        <v>3</v>
      </c>
      <c r="C50" s="63">
        <v>0</v>
      </c>
      <c r="D50" s="63">
        <v>0.38352471568278745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5"/>
    </row>
    <row r="51" spans="1:37" ht="13.5" hidden="1" customHeight="1">
      <c r="A51" s="44" t="s">
        <v>46</v>
      </c>
      <c r="B51" s="15" t="s">
        <v>4</v>
      </c>
      <c r="C51" s="63">
        <v>0</v>
      </c>
      <c r="D51" s="63">
        <v>0</v>
      </c>
      <c r="E51" s="63">
        <v>1.1321859824569153E-2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5"/>
    </row>
    <row r="52" spans="1:37" ht="13.5" hidden="1" customHeight="1">
      <c r="A52" s="44" t="s">
        <v>47</v>
      </c>
      <c r="B52" s="15" t="s">
        <v>5</v>
      </c>
      <c r="C52" s="63">
        <v>0</v>
      </c>
      <c r="D52" s="63">
        <v>0</v>
      </c>
      <c r="E52" s="63">
        <v>0</v>
      </c>
      <c r="F52" s="63">
        <v>6.4492026570184158E-2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4">
        <v>0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0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0</v>
      </c>
      <c r="AK52" s="65"/>
    </row>
    <row r="53" spans="1:37" ht="13.5" hidden="1" customHeight="1">
      <c r="A53" s="44" t="s">
        <v>48</v>
      </c>
      <c r="B53" s="15" t="s">
        <v>6</v>
      </c>
      <c r="C53" s="63">
        <v>0</v>
      </c>
      <c r="D53" s="63">
        <v>0</v>
      </c>
      <c r="E53" s="63">
        <v>0</v>
      </c>
      <c r="F53" s="63">
        <v>0</v>
      </c>
      <c r="G53" s="63">
        <v>5.0767936108755476E-2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5"/>
    </row>
    <row r="54" spans="1:37" ht="13.5" hidden="1" customHeight="1">
      <c r="A54" s="44" t="s">
        <v>49</v>
      </c>
      <c r="B54" s="15" t="s">
        <v>7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0.20548833308023901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5"/>
    </row>
    <row r="55" spans="1:37" ht="13.5" hidden="1" customHeight="1">
      <c r="A55" s="44" t="s">
        <v>50</v>
      </c>
      <c r="B55" s="15" t="s">
        <v>8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0.22485881441959099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5"/>
    </row>
    <row r="56" spans="1:37" ht="13.5" hidden="1" customHeight="1">
      <c r="A56" s="44" t="s">
        <v>51</v>
      </c>
      <c r="B56" s="15" t="s">
        <v>9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0.22485881441941002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5"/>
    </row>
    <row r="57" spans="1:37" ht="13.5" hidden="1" customHeight="1">
      <c r="A57" s="44" t="s">
        <v>52</v>
      </c>
      <c r="B57" s="15" t="s">
        <v>10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0.69169897066255903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5"/>
    </row>
    <row r="58" spans="1:37" ht="13.5" hidden="1" customHeight="1">
      <c r="A58" s="44" t="s">
        <v>53</v>
      </c>
      <c r="B58" s="15" t="s">
        <v>54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0.53433113333010096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5"/>
    </row>
    <row r="59" spans="1:37" ht="13.5" hidden="1" customHeight="1">
      <c r="A59" s="44" t="s">
        <v>55</v>
      </c>
      <c r="B59" s="15" t="s">
        <v>56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2.7019706383372586E-3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5"/>
    </row>
    <row r="60" spans="1:37" ht="13.5" hidden="1" customHeight="1">
      <c r="A60" s="44" t="s">
        <v>57</v>
      </c>
      <c r="B60" s="15" t="s">
        <v>58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1.1973231660233199E-2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5"/>
    </row>
    <row r="61" spans="1:37" ht="13.5" hidden="1" customHeight="1">
      <c r="A61" s="44" t="s">
        <v>59</v>
      </c>
      <c r="B61" s="15" t="s">
        <v>11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7.1737987228122574E-4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5"/>
    </row>
    <row r="62" spans="1:37" ht="13.5" hidden="1" customHeight="1">
      <c r="A62" s="44" t="s">
        <v>60</v>
      </c>
      <c r="B62" s="15" t="s">
        <v>12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3.7345503739572385E-2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5"/>
    </row>
    <row r="63" spans="1:37" ht="13.5" hidden="1" customHeight="1">
      <c r="A63" s="44" t="s">
        <v>61</v>
      </c>
      <c r="B63" s="15" t="s">
        <v>62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7.0066451081647781E-3</v>
      </c>
      <c r="R63" s="63">
        <v>0</v>
      </c>
      <c r="S63" s="63">
        <v>0</v>
      </c>
      <c r="T63" s="63">
        <v>0</v>
      </c>
      <c r="U63" s="63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5"/>
    </row>
    <row r="64" spans="1:37" ht="13.5" hidden="1" customHeight="1">
      <c r="A64" s="44" t="s">
        <v>63</v>
      </c>
      <c r="B64" s="15" t="s">
        <v>64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0.12421198041207222</v>
      </c>
      <c r="S64" s="63">
        <v>0</v>
      </c>
      <c r="T64" s="63">
        <v>0</v>
      </c>
      <c r="U64" s="63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5"/>
    </row>
    <row r="65" spans="1:37" ht="13.5" hidden="1" customHeight="1">
      <c r="A65" s="44" t="s">
        <v>65</v>
      </c>
      <c r="B65" s="15" t="s">
        <v>13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1.7030359356060433E-2</v>
      </c>
      <c r="T65" s="63">
        <v>0</v>
      </c>
      <c r="U65" s="63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5"/>
    </row>
    <row r="66" spans="1:37" ht="13.5" hidden="1" customHeight="1">
      <c r="A66" s="44" t="s">
        <v>66</v>
      </c>
      <c r="B66" s="15" t="s">
        <v>67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1.5119582883895131</v>
      </c>
      <c r="U66" s="63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5"/>
    </row>
    <row r="67" spans="1:37" ht="13.5" hidden="1" customHeight="1">
      <c r="A67" s="44" t="s">
        <v>68</v>
      </c>
      <c r="B67" s="15" t="s">
        <v>14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0.43474703473909199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5"/>
    </row>
    <row r="68" spans="1:37" ht="13.5" hidden="1" customHeight="1">
      <c r="A68" s="44" t="s">
        <v>69</v>
      </c>
      <c r="B68" s="15" t="s">
        <v>70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4">
        <v>5.2975368487324093E-3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5"/>
    </row>
    <row r="69" spans="1:37" ht="13.5" hidden="1" customHeight="1">
      <c r="A69" s="44" t="s">
        <v>71</v>
      </c>
      <c r="B69" s="15" t="s">
        <v>42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4">
        <v>0</v>
      </c>
      <c r="W69" s="64">
        <v>3.6145916759950263E-3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5"/>
    </row>
    <row r="70" spans="1:37" ht="13.5" hidden="1" customHeight="1">
      <c r="A70" s="44" t="s">
        <v>72</v>
      </c>
      <c r="B70" s="15" t="s">
        <v>15</v>
      </c>
      <c r="C70" s="63">
        <v>0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4">
        <v>0</v>
      </c>
      <c r="W70" s="64">
        <v>0</v>
      </c>
      <c r="X70" s="64">
        <v>0.45729114547505445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5"/>
    </row>
    <row r="71" spans="1:37" ht="13.5" hidden="1" customHeight="1">
      <c r="A71" s="44" t="s">
        <v>73</v>
      </c>
      <c r="B71" s="15" t="s">
        <v>16</v>
      </c>
      <c r="C71" s="6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4">
        <v>0</v>
      </c>
      <c r="W71" s="64">
        <v>0</v>
      </c>
      <c r="X71" s="64">
        <v>0</v>
      </c>
      <c r="Y71" s="64">
        <v>1.0070202995676234E-2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5"/>
    </row>
    <row r="72" spans="1:37" ht="13.5" hidden="1" customHeight="1">
      <c r="A72" s="44" t="s">
        <v>74</v>
      </c>
      <c r="B72" s="15" t="s">
        <v>17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4">
        <v>0</v>
      </c>
      <c r="W72" s="64">
        <v>0</v>
      </c>
      <c r="X72" s="64">
        <v>0</v>
      </c>
      <c r="Y72" s="64">
        <v>0</v>
      </c>
      <c r="Z72" s="64">
        <v>4.6470390007868125E-4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5"/>
    </row>
    <row r="73" spans="1:37" ht="13.5" hidden="1" customHeight="1">
      <c r="A73" s="44" t="s">
        <v>75</v>
      </c>
      <c r="B73" s="15" t="s">
        <v>76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5.7176864941480964E-4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5"/>
    </row>
    <row r="74" spans="1:37" ht="13.5" hidden="1" customHeight="1">
      <c r="A74" s="44" t="s">
        <v>77</v>
      </c>
      <c r="B74" s="15" t="s">
        <v>43</v>
      </c>
      <c r="C74" s="63">
        <v>0</v>
      </c>
      <c r="D74" s="63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8.6898251609538282E-4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5"/>
    </row>
    <row r="75" spans="1:37" ht="13.5" hidden="1" customHeight="1">
      <c r="A75" s="44" t="s">
        <v>78</v>
      </c>
      <c r="B75" s="15" t="s">
        <v>18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5.3212024948752056E-3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5"/>
    </row>
    <row r="76" spans="1:37" ht="13.5" hidden="1" customHeight="1">
      <c r="A76" s="44" t="s">
        <v>79</v>
      </c>
      <c r="B76" s="15" t="s">
        <v>80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1.0918470341367225E-3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5"/>
    </row>
    <row r="77" spans="1:37" ht="13.5" hidden="1" customHeight="1">
      <c r="A77" s="44" t="s">
        <v>81</v>
      </c>
      <c r="B77" s="15" t="s">
        <v>19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2.9699788181146682E-2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5"/>
    </row>
    <row r="78" spans="1:37" ht="13.5" hidden="1" customHeight="1">
      <c r="A78" s="44" t="s">
        <v>82</v>
      </c>
      <c r="B78" s="15" t="s">
        <v>83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1.4186484512484056E-2</v>
      </c>
      <c r="AG78" s="64">
        <v>0</v>
      </c>
      <c r="AH78" s="64">
        <v>0</v>
      </c>
      <c r="AI78" s="64">
        <v>0</v>
      </c>
      <c r="AJ78" s="64">
        <v>0</v>
      </c>
      <c r="AK78" s="65"/>
    </row>
    <row r="79" spans="1:37" ht="13.5" hidden="1" customHeight="1">
      <c r="A79" s="44" t="s">
        <v>84</v>
      </c>
      <c r="B79" s="15" t="s">
        <v>85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8.2280508558531928E-3</v>
      </c>
      <c r="AH79" s="64">
        <v>0</v>
      </c>
      <c r="AI79" s="64">
        <v>0</v>
      </c>
      <c r="AJ79" s="64">
        <v>0</v>
      </c>
      <c r="AK79" s="65"/>
    </row>
    <row r="80" spans="1:37" ht="13.5" hidden="1" customHeight="1">
      <c r="A80" s="44" t="s">
        <v>86</v>
      </c>
      <c r="B80" s="15" t="s">
        <v>87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5.7706053193781548E-3</v>
      </c>
      <c r="AI80" s="64">
        <v>0</v>
      </c>
      <c r="AJ80" s="64">
        <v>0</v>
      </c>
      <c r="AK80" s="65"/>
    </row>
    <row r="81" spans="1:37" ht="13.5" hidden="1" customHeight="1">
      <c r="A81" s="44" t="s">
        <v>88</v>
      </c>
      <c r="B81" s="15" t="s">
        <v>89</v>
      </c>
      <c r="C81" s="63">
        <v>0</v>
      </c>
      <c r="D81" s="63">
        <v>0</v>
      </c>
      <c r="E81" s="63">
        <v>0</v>
      </c>
      <c r="F81" s="63">
        <v>0</v>
      </c>
      <c r="G81" s="63">
        <v>0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5.1724178452630084E-3</v>
      </c>
      <c r="AJ81" s="64">
        <v>0</v>
      </c>
      <c r="AK81" s="65"/>
    </row>
    <row r="82" spans="1:37" ht="13.5" hidden="1" customHeight="1">
      <c r="A82" s="46" t="s">
        <v>91</v>
      </c>
      <c r="B82" s="16" t="s">
        <v>20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5"/>
    </row>
    <row r="83" spans="1:37" ht="13.5" hidden="1" customHeight="1"/>
    <row r="84" spans="1:37" ht="13.5" hidden="1" customHeight="1"/>
    <row r="85" spans="1:37" ht="13.5" hidden="1" customHeight="1"/>
    <row r="86" spans="1:37" ht="13.5" hidden="1" customHeight="1"/>
    <row r="87" spans="1:37" ht="13.5" hidden="1" customHeight="1"/>
    <row r="88" spans="1:37" ht="13.5" hidden="1" customHeight="1">
      <c r="A88" s="182" t="s">
        <v>25</v>
      </c>
      <c r="B88" s="183"/>
      <c r="C88" s="32" t="s">
        <v>44</v>
      </c>
      <c r="D88" s="32" t="s">
        <v>45</v>
      </c>
      <c r="E88" s="32" t="s">
        <v>46</v>
      </c>
      <c r="F88" s="33" t="s">
        <v>47</v>
      </c>
      <c r="G88" s="34" t="s">
        <v>48</v>
      </c>
      <c r="H88" s="34" t="s">
        <v>49</v>
      </c>
      <c r="I88" s="34" t="s">
        <v>50</v>
      </c>
      <c r="J88" s="34"/>
      <c r="K88" s="34" t="s">
        <v>51</v>
      </c>
      <c r="L88" s="34" t="s">
        <v>52</v>
      </c>
      <c r="M88" s="34" t="s">
        <v>53</v>
      </c>
      <c r="N88" s="34" t="s">
        <v>55</v>
      </c>
      <c r="O88" s="34" t="s">
        <v>57</v>
      </c>
      <c r="P88" s="34" t="s">
        <v>59</v>
      </c>
      <c r="Q88" s="34" t="s">
        <v>60</v>
      </c>
      <c r="R88" s="34" t="s">
        <v>61</v>
      </c>
      <c r="S88" s="34" t="s">
        <v>63</v>
      </c>
      <c r="T88" s="34" t="s">
        <v>65</v>
      </c>
      <c r="U88" s="34" t="s">
        <v>66</v>
      </c>
      <c r="V88" s="34" t="s">
        <v>68</v>
      </c>
      <c r="W88" s="34" t="s">
        <v>69</v>
      </c>
      <c r="X88" s="34" t="s">
        <v>71</v>
      </c>
      <c r="Y88" s="34" t="s">
        <v>72</v>
      </c>
      <c r="Z88" s="34" t="s">
        <v>73</v>
      </c>
      <c r="AA88" s="34" t="s">
        <v>74</v>
      </c>
      <c r="AB88" s="34" t="s">
        <v>75</v>
      </c>
      <c r="AC88" s="34" t="s">
        <v>77</v>
      </c>
      <c r="AD88" s="34" t="s">
        <v>78</v>
      </c>
      <c r="AE88" s="34" t="s">
        <v>79</v>
      </c>
      <c r="AF88" s="34" t="s">
        <v>81</v>
      </c>
      <c r="AG88" s="34" t="s">
        <v>82</v>
      </c>
      <c r="AH88" s="34" t="s">
        <v>84</v>
      </c>
      <c r="AI88" s="34" t="s">
        <v>86</v>
      </c>
      <c r="AJ88" s="34" t="s">
        <v>88</v>
      </c>
      <c r="AK88" s="35" t="s">
        <v>98</v>
      </c>
    </row>
    <row r="89" spans="1:37" ht="13.5" hidden="1" customHeight="1">
      <c r="A89" s="184"/>
      <c r="B89" s="185"/>
      <c r="C89" s="51" t="s">
        <v>2</v>
      </c>
      <c r="D89" s="51" t="s">
        <v>3</v>
      </c>
      <c r="E89" s="51" t="s">
        <v>4</v>
      </c>
      <c r="F89" s="51" t="s">
        <v>5</v>
      </c>
      <c r="G89" s="51" t="s">
        <v>6</v>
      </c>
      <c r="H89" s="51" t="s">
        <v>7</v>
      </c>
      <c r="I89" s="51" t="s">
        <v>8</v>
      </c>
      <c r="J89" s="51"/>
      <c r="K89" s="51" t="s">
        <v>9</v>
      </c>
      <c r="L89" s="51" t="s">
        <v>10</v>
      </c>
      <c r="M89" s="51" t="s">
        <v>54</v>
      </c>
      <c r="N89" s="51" t="s">
        <v>56</v>
      </c>
      <c r="O89" s="51" t="s">
        <v>58</v>
      </c>
      <c r="P89" s="51" t="s">
        <v>11</v>
      </c>
      <c r="Q89" s="51" t="s">
        <v>12</v>
      </c>
      <c r="R89" s="51" t="s">
        <v>62</v>
      </c>
      <c r="S89" s="51" t="s">
        <v>64</v>
      </c>
      <c r="T89" s="51" t="s">
        <v>13</v>
      </c>
      <c r="U89" s="51" t="s">
        <v>67</v>
      </c>
      <c r="V89" s="51" t="s">
        <v>14</v>
      </c>
      <c r="W89" s="51" t="s">
        <v>70</v>
      </c>
      <c r="X89" s="51" t="s">
        <v>42</v>
      </c>
      <c r="Y89" s="51" t="s">
        <v>15</v>
      </c>
      <c r="Z89" s="51" t="s">
        <v>16</v>
      </c>
      <c r="AA89" s="51" t="s">
        <v>17</v>
      </c>
      <c r="AB89" s="51" t="s">
        <v>76</v>
      </c>
      <c r="AC89" s="51" t="s">
        <v>43</v>
      </c>
      <c r="AD89" s="51" t="s">
        <v>18</v>
      </c>
      <c r="AE89" s="51" t="s">
        <v>80</v>
      </c>
      <c r="AF89" s="51" t="s">
        <v>19</v>
      </c>
      <c r="AG89" s="51" t="s">
        <v>83</v>
      </c>
      <c r="AH89" s="51" t="s">
        <v>85</v>
      </c>
      <c r="AI89" s="51" t="s">
        <v>87</v>
      </c>
      <c r="AJ89" s="51" t="s">
        <v>89</v>
      </c>
      <c r="AK89" s="23" t="s">
        <v>26</v>
      </c>
    </row>
    <row r="90" spans="1:37" ht="13.5" hidden="1" customHeight="1">
      <c r="A90" s="44" t="s">
        <v>44</v>
      </c>
      <c r="B90" s="15" t="s">
        <v>2</v>
      </c>
      <c r="C90" s="63" cm="1">
        <f t="array" ref="C90:AJ123">MMULT(_xlfn.ANCHORARRAY(C49),C7:AJ40)</f>
        <v>0.38983292068626846</v>
      </c>
      <c r="D90" s="63">
        <v>2.5264458348117479E-3</v>
      </c>
      <c r="E90" s="63">
        <v>8.5604645645328409E-2</v>
      </c>
      <c r="F90" s="63">
        <v>1.9081664452094886E-3</v>
      </c>
      <c r="G90" s="63">
        <v>4.2246641892959977E-3</v>
      </c>
      <c r="H90" s="63">
        <v>3.3893823318855879E-4</v>
      </c>
      <c r="I90" s="63">
        <v>2.1102550870728334E-3</v>
      </c>
      <c r="J90" s="63">
        <v>1.8109229994709227E-3</v>
      </c>
      <c r="K90" s="63">
        <v>1.6371728640918281E-3</v>
      </c>
      <c r="L90" s="63">
        <v>1.0041492372914664E-3</v>
      </c>
      <c r="M90" s="63">
        <v>1.5895437812187443E-3</v>
      </c>
      <c r="N90" s="63">
        <v>9.9187224520829636E-4</v>
      </c>
      <c r="O90" s="63">
        <v>1.1224545269264623E-3</v>
      </c>
      <c r="P90" s="63">
        <v>1.5994380511912124E-3</v>
      </c>
      <c r="Q90" s="63">
        <v>1.295276012028257E-3</v>
      </c>
      <c r="R90" s="63">
        <v>2.1074463450082657E-3</v>
      </c>
      <c r="S90" s="63">
        <v>5.2155328937484686E-3</v>
      </c>
      <c r="T90" s="63">
        <v>1.2350643133954814E-3</v>
      </c>
      <c r="U90" s="63">
        <v>1.9892918818808676E-3</v>
      </c>
      <c r="V90" s="64">
        <v>1.591683853485122E-3</v>
      </c>
      <c r="W90" s="64">
        <v>3.0264226650639835E-3</v>
      </c>
      <c r="X90" s="64">
        <v>1.0986078078950891E-3</v>
      </c>
      <c r="Y90" s="64">
        <v>4.3233026703355687E-2</v>
      </c>
      <c r="Z90" s="64">
        <v>1.590850050642187E-3</v>
      </c>
      <c r="AA90" s="64">
        <v>1.4574166770041899E-3</v>
      </c>
      <c r="AB90" s="64">
        <v>9.3544348149556499E-4</v>
      </c>
      <c r="AC90" s="64">
        <v>2.8081035503468698E-3</v>
      </c>
      <c r="AD90" s="64">
        <v>2.6066680304759121E-3</v>
      </c>
      <c r="AE90" s="64">
        <v>2.6360322157731935E-3</v>
      </c>
      <c r="AF90" s="64">
        <v>5.234051477333912E-3</v>
      </c>
      <c r="AG90" s="64">
        <v>4.2251699171884007E-3</v>
      </c>
      <c r="AH90" s="64">
        <v>6.2009277741300389E-3</v>
      </c>
      <c r="AI90" s="64">
        <v>4.9202535231579027E-3</v>
      </c>
      <c r="AJ90" s="64">
        <v>3.7720889193167463E-3</v>
      </c>
      <c r="AK90" s="65"/>
    </row>
    <row r="91" spans="1:37" ht="13.5" hidden="1" customHeight="1">
      <c r="A91" s="44" t="s">
        <v>45</v>
      </c>
      <c r="B91" s="15" t="s">
        <v>3</v>
      </c>
      <c r="C91" s="63">
        <v>2.0393028196576284E-4</v>
      </c>
      <c r="D91" s="63">
        <v>0.3839881990890015</v>
      </c>
      <c r="E91" s="63">
        <v>4.1978659748458092E-4</v>
      </c>
      <c r="F91" s="63">
        <v>1.6558483836467044E-4</v>
      </c>
      <c r="G91" s="63">
        <v>3.0849995424247627E-4</v>
      </c>
      <c r="H91" s="63">
        <v>3.308961754066495E-4</v>
      </c>
      <c r="I91" s="63">
        <v>6.9837617550049099E-4</v>
      </c>
      <c r="J91" s="63">
        <v>3.435614446277703E-4</v>
      </c>
      <c r="K91" s="63">
        <v>3.4018689418537293E-2</v>
      </c>
      <c r="L91" s="63">
        <v>1.2775326146549383E-3</v>
      </c>
      <c r="M91" s="63">
        <v>6.1961501648781676E-4</v>
      </c>
      <c r="N91" s="63">
        <v>3.1311624529299729E-4</v>
      </c>
      <c r="O91" s="63">
        <v>4.7407318757432373E-4</v>
      </c>
      <c r="P91" s="63">
        <v>3.7934947664850681E-4</v>
      </c>
      <c r="Q91" s="63">
        <v>5.3003264197029794E-4</v>
      </c>
      <c r="R91" s="63">
        <v>5.1203741096603314E-4</v>
      </c>
      <c r="S91" s="63">
        <v>2.802470640153075E-4</v>
      </c>
      <c r="T91" s="63">
        <v>4.1046125618291655E-4</v>
      </c>
      <c r="U91" s="63">
        <v>8.3800842136494847E-4</v>
      </c>
      <c r="V91" s="64">
        <v>3.2641453950015744E-3</v>
      </c>
      <c r="W91" s="64">
        <v>1.0662899613193786E-4</v>
      </c>
      <c r="X91" s="64">
        <v>1.106658459429446E-4</v>
      </c>
      <c r="Y91" s="64">
        <v>3.3514633612553374E-4</v>
      </c>
      <c r="Z91" s="64">
        <v>7.7074507872554383E-5</v>
      </c>
      <c r="AA91" s="64">
        <v>4.396672193367173E-5</v>
      </c>
      <c r="AB91" s="64">
        <v>2.8298874898671631E-4</v>
      </c>
      <c r="AC91" s="64">
        <v>1.5575105453554688E-4</v>
      </c>
      <c r="AD91" s="64">
        <v>1.9661691097593365E-4</v>
      </c>
      <c r="AE91" s="64">
        <v>1.6374105158685075E-4</v>
      </c>
      <c r="AF91" s="64">
        <v>1.2642096911487664E-4</v>
      </c>
      <c r="AG91" s="64">
        <v>1.7521603880774812E-4</v>
      </c>
      <c r="AH91" s="64">
        <v>2.0096090904481211E-4</v>
      </c>
      <c r="AI91" s="64">
        <v>2.1358519635573782E-4</v>
      </c>
      <c r="AJ91" s="64">
        <v>2.1624124437730612E-4</v>
      </c>
      <c r="AK91" s="65"/>
    </row>
    <row r="92" spans="1:37" ht="13.5" hidden="1" customHeight="1">
      <c r="A92" s="44" t="s">
        <v>46</v>
      </c>
      <c r="B92" s="15" t="s">
        <v>4</v>
      </c>
      <c r="C92" s="63">
        <v>2.6418349718805387E-3</v>
      </c>
      <c r="D92" s="63">
        <v>2.1013519900428516E-4</v>
      </c>
      <c r="E92" s="63">
        <v>1.3626423915992307E-2</v>
      </c>
      <c r="F92" s="63">
        <v>1.3933698321102992E-4</v>
      </c>
      <c r="G92" s="63">
        <v>1.6970013890846625E-4</v>
      </c>
      <c r="H92" s="63">
        <v>2.8256245745328009E-5</v>
      </c>
      <c r="I92" s="63">
        <v>1.4921304116923857E-4</v>
      </c>
      <c r="J92" s="63">
        <v>1.5694192761445006E-4</v>
      </c>
      <c r="K92" s="63">
        <v>1.3710564779249957E-4</v>
      </c>
      <c r="L92" s="63">
        <v>8.7906006620457012E-5</v>
      </c>
      <c r="M92" s="63">
        <v>1.2884391447293218E-4</v>
      </c>
      <c r="N92" s="63">
        <v>7.6983358425093484E-5</v>
      </c>
      <c r="O92" s="63">
        <v>8.9631410949407312E-5</v>
      </c>
      <c r="P92" s="63">
        <v>1.2520601295953592E-4</v>
      </c>
      <c r="Q92" s="63">
        <v>1.028900468779586E-4</v>
      </c>
      <c r="R92" s="63">
        <v>1.4566994369261617E-4</v>
      </c>
      <c r="S92" s="63">
        <v>2.9139588003960571E-4</v>
      </c>
      <c r="T92" s="63">
        <v>1.5893061285014427E-4</v>
      </c>
      <c r="U92" s="63">
        <v>1.6843827013809679E-4</v>
      </c>
      <c r="V92" s="64">
        <v>1.0041996060964959E-4</v>
      </c>
      <c r="W92" s="64">
        <v>2.7502883248815965E-4</v>
      </c>
      <c r="X92" s="64">
        <v>9.8368431668486171E-5</v>
      </c>
      <c r="Y92" s="64">
        <v>3.4562030882843166E-3</v>
      </c>
      <c r="Z92" s="64">
        <v>1.4221268077283436E-4</v>
      </c>
      <c r="AA92" s="64">
        <v>1.2374551208589176E-4</v>
      </c>
      <c r="AB92" s="64">
        <v>7.6090774730063398E-5</v>
      </c>
      <c r="AC92" s="64">
        <v>2.5397438293530241E-4</v>
      </c>
      <c r="AD92" s="64">
        <v>2.4216399053806983E-4</v>
      </c>
      <c r="AE92" s="64">
        <v>2.0736730445722101E-4</v>
      </c>
      <c r="AF92" s="64">
        <v>4.3171039771608248E-4</v>
      </c>
      <c r="AG92" s="64">
        <v>3.16945993601127E-4</v>
      </c>
      <c r="AH92" s="64">
        <v>7.5201179430984275E-4</v>
      </c>
      <c r="AI92" s="64">
        <v>4.6182257168522674E-4</v>
      </c>
      <c r="AJ92" s="64">
        <v>3.5484837462431134E-4</v>
      </c>
      <c r="AK92" s="65"/>
    </row>
    <row r="93" spans="1:37" ht="13.5" hidden="1" customHeight="1">
      <c r="A93" s="44" t="s">
        <v>47</v>
      </c>
      <c r="B93" s="15" t="s">
        <v>5</v>
      </c>
      <c r="C93" s="63">
        <v>7.6844203838740408E-4</v>
      </c>
      <c r="D93" s="63">
        <v>6.3751606506234426E-4</v>
      </c>
      <c r="E93" s="63">
        <v>4.7712441147768092E-4</v>
      </c>
      <c r="F93" s="63">
        <v>7.488235881828037E-2</v>
      </c>
      <c r="G93" s="63">
        <v>1.1056974508349381E-3</v>
      </c>
      <c r="H93" s="63">
        <v>1.0635702121082795E-4</v>
      </c>
      <c r="I93" s="63">
        <v>4.7199411371765166E-4</v>
      </c>
      <c r="J93" s="63">
        <v>3.9327280582498439E-4</v>
      </c>
      <c r="K93" s="63">
        <v>6.1203837824485294E-4</v>
      </c>
      <c r="L93" s="63">
        <v>2.8291483585655725E-4</v>
      </c>
      <c r="M93" s="63">
        <v>5.6361612682915348E-4</v>
      </c>
      <c r="N93" s="63">
        <v>3.0807756289956558E-4</v>
      </c>
      <c r="O93" s="63">
        <v>3.1364354512093776E-4</v>
      </c>
      <c r="P93" s="63">
        <v>4.4149667676436681E-4</v>
      </c>
      <c r="Q93" s="63">
        <v>5.8974061667738174E-4</v>
      </c>
      <c r="R93" s="63">
        <v>4.162566745142298E-3</v>
      </c>
      <c r="S93" s="63">
        <v>2.4068936612486138E-3</v>
      </c>
      <c r="T93" s="63">
        <v>1.0842563661331653E-4</v>
      </c>
      <c r="U93" s="63">
        <v>7.192303333397157E-4</v>
      </c>
      <c r="V93" s="64">
        <v>3.0096790366424512E-4</v>
      </c>
      <c r="W93" s="64">
        <v>4.6161405756324367E-4</v>
      </c>
      <c r="X93" s="64">
        <v>7.9205552565967405E-4</v>
      </c>
      <c r="Y93" s="64">
        <v>8.5519924656977573E-4</v>
      </c>
      <c r="Z93" s="64">
        <v>2.5782761315355931E-4</v>
      </c>
      <c r="AA93" s="64">
        <v>1.497145588250182E-4</v>
      </c>
      <c r="AB93" s="64">
        <v>1.6999756470961505E-4</v>
      </c>
      <c r="AC93" s="64">
        <v>3.2699416422997933E-4</v>
      </c>
      <c r="AD93" s="64">
        <v>8.1095199160155116E-4</v>
      </c>
      <c r="AE93" s="64">
        <v>3.6469529274696003E-4</v>
      </c>
      <c r="AF93" s="64">
        <v>3.0216240161193335E-4</v>
      </c>
      <c r="AG93" s="64">
        <v>4.753163337224281E-4</v>
      </c>
      <c r="AH93" s="64">
        <v>8.9526015450731942E-4</v>
      </c>
      <c r="AI93" s="64">
        <v>1.0597140767571334E-3</v>
      </c>
      <c r="AJ93" s="64">
        <v>6.6047523221076114E-4</v>
      </c>
      <c r="AK93" s="65"/>
    </row>
    <row r="94" spans="1:37" ht="13.5" hidden="1" customHeight="1">
      <c r="A94" s="44" t="s">
        <v>48</v>
      </c>
      <c r="B94" s="15" t="s">
        <v>6</v>
      </c>
      <c r="C94" s="63">
        <v>1.3739144123492463E-3</v>
      </c>
      <c r="D94" s="63">
        <v>5.4113604722715795E-4</v>
      </c>
      <c r="E94" s="63">
        <v>2.0295272499262452E-3</v>
      </c>
      <c r="F94" s="63">
        <v>5.6973011170783077E-4</v>
      </c>
      <c r="G94" s="63">
        <v>6.5394675295354684E-2</v>
      </c>
      <c r="H94" s="63">
        <v>1.511001967472479E-4</v>
      </c>
      <c r="I94" s="63">
        <v>6.6024012767621409E-4</v>
      </c>
      <c r="J94" s="63">
        <v>6.6717960937087326E-4</v>
      </c>
      <c r="K94" s="63">
        <v>9.4833236559231811E-4</v>
      </c>
      <c r="L94" s="63">
        <v>3.2791143140131459E-4</v>
      </c>
      <c r="M94" s="63">
        <v>8.6599278082469949E-4</v>
      </c>
      <c r="N94" s="63">
        <v>2.557260915370721E-4</v>
      </c>
      <c r="O94" s="63">
        <v>5.1380780463031336E-4</v>
      </c>
      <c r="P94" s="63">
        <v>5.1706039186913053E-4</v>
      </c>
      <c r="Q94" s="63">
        <v>4.0252557334679527E-4</v>
      </c>
      <c r="R94" s="63">
        <v>3.6840583452009018E-3</v>
      </c>
      <c r="S94" s="63">
        <v>6.2941571767250501E-4</v>
      </c>
      <c r="T94" s="63">
        <v>3.5621681916371713E-4</v>
      </c>
      <c r="U94" s="63">
        <v>3.7611158132918449E-4</v>
      </c>
      <c r="V94" s="64">
        <v>1.3858444971900255E-3</v>
      </c>
      <c r="W94" s="64">
        <v>1.0320800861460696E-3</v>
      </c>
      <c r="X94" s="64">
        <v>6.3760839812700859E-4</v>
      </c>
      <c r="Y94" s="64">
        <v>1.4059001256163696E-3</v>
      </c>
      <c r="Z94" s="64">
        <v>8.9812540314109369E-4</v>
      </c>
      <c r="AA94" s="64">
        <v>7.0755712471520576E-4</v>
      </c>
      <c r="AB94" s="64">
        <v>3.094538040722715E-4</v>
      </c>
      <c r="AC94" s="64">
        <v>1.2754915101800936E-3</v>
      </c>
      <c r="AD94" s="64">
        <v>5.8320086539011642E-4</v>
      </c>
      <c r="AE94" s="64">
        <v>4.6126436968917019E-4</v>
      </c>
      <c r="AF94" s="64">
        <v>7.0417547576121214E-4</v>
      </c>
      <c r="AG94" s="64">
        <v>6.6641435191020513E-4</v>
      </c>
      <c r="AH94" s="64">
        <v>6.8900582661453433E-4</v>
      </c>
      <c r="AI94" s="64">
        <v>1.0759951504138679E-3</v>
      </c>
      <c r="AJ94" s="64">
        <v>6.3617933663612073E-4</v>
      </c>
      <c r="AK94" s="65"/>
    </row>
    <row r="95" spans="1:37" ht="13.5" hidden="1" customHeight="1">
      <c r="A95" s="44" t="s">
        <v>49</v>
      </c>
      <c r="B95" s="15" t="s">
        <v>7</v>
      </c>
      <c r="C95" s="63">
        <v>7.7383195379233096E-3</v>
      </c>
      <c r="D95" s="63">
        <v>9.9154623236671659E-3</v>
      </c>
      <c r="E95" s="63">
        <v>4.7796228059686224E-3</v>
      </c>
      <c r="F95" s="63">
        <v>4.0858610308542207E-3</v>
      </c>
      <c r="G95" s="63">
        <v>5.1008474735381787E-3</v>
      </c>
      <c r="H95" s="63">
        <v>0.21218785555167344</v>
      </c>
      <c r="I95" s="63">
        <v>1.5194082766511817E-2</v>
      </c>
      <c r="J95" s="63">
        <v>8.9860546981357179E-3</v>
      </c>
      <c r="K95" s="63">
        <v>1.5884795464067198E-2</v>
      </c>
      <c r="L95" s="63">
        <v>3.1185906044551574E-3</v>
      </c>
      <c r="M95" s="63">
        <v>4.1782092901858385E-3</v>
      </c>
      <c r="N95" s="63">
        <v>2.1094944431674849E-3</v>
      </c>
      <c r="O95" s="63">
        <v>3.5927573723697334E-3</v>
      </c>
      <c r="P95" s="63">
        <v>3.3711449620666876E-3</v>
      </c>
      <c r="Q95" s="63">
        <v>3.8242653931672014E-3</v>
      </c>
      <c r="R95" s="63">
        <v>4.6841207489427732E-3</v>
      </c>
      <c r="S95" s="63">
        <v>4.0730723076418101E-3</v>
      </c>
      <c r="T95" s="63">
        <v>5.1469536708811502E-3</v>
      </c>
      <c r="U95" s="63">
        <v>7.2745202916894534E-3</v>
      </c>
      <c r="V95" s="64">
        <v>6.5848725481858173E-3</v>
      </c>
      <c r="W95" s="64">
        <v>7.6173965039289136E-3</v>
      </c>
      <c r="X95" s="64">
        <v>1.7627812521735522E-2</v>
      </c>
      <c r="Y95" s="64">
        <v>6.2857840617429311E-3</v>
      </c>
      <c r="Z95" s="64">
        <v>1.9076706902491185E-3</v>
      </c>
      <c r="AA95" s="64">
        <v>9.4607284847725368E-4</v>
      </c>
      <c r="AB95" s="64">
        <v>1.8506509236288116E-3</v>
      </c>
      <c r="AC95" s="64">
        <v>4.6351896332167191E-3</v>
      </c>
      <c r="AD95" s="64">
        <v>3.2917238284473167E-3</v>
      </c>
      <c r="AE95" s="64">
        <v>4.6294669069240311E-3</v>
      </c>
      <c r="AF95" s="64">
        <v>4.4145697613493639E-3</v>
      </c>
      <c r="AG95" s="64">
        <v>4.3371419134747612E-3</v>
      </c>
      <c r="AH95" s="64">
        <v>2.9929396547496677E-3</v>
      </c>
      <c r="AI95" s="64">
        <v>5.1858585590020432E-3</v>
      </c>
      <c r="AJ95" s="64">
        <v>6.1497698782469112E-3</v>
      </c>
      <c r="AK95" s="65"/>
    </row>
    <row r="96" spans="1:37" ht="13.5" hidden="1" customHeight="1">
      <c r="A96" s="44" t="s">
        <v>50</v>
      </c>
      <c r="B96" s="15" t="s">
        <v>8</v>
      </c>
      <c r="C96" s="63">
        <v>2.364600573794368E-2</v>
      </c>
      <c r="D96" s="63">
        <v>1.810788867448461E-2</v>
      </c>
      <c r="E96" s="63">
        <v>1.647743254034989E-2</v>
      </c>
      <c r="F96" s="63">
        <v>2.8805598578179676E-2</v>
      </c>
      <c r="G96" s="63">
        <v>2.7247902602587786E-2</v>
      </c>
      <c r="H96" s="63">
        <v>6.2203510327353871E-3</v>
      </c>
      <c r="I96" s="63">
        <v>0.28501074995008296</v>
      </c>
      <c r="J96" s="63">
        <v>3.7913884911295367E-2</v>
      </c>
      <c r="K96" s="63">
        <v>1.7397228164903921E-2</v>
      </c>
      <c r="L96" s="63">
        <v>6.7064370103026242E-3</v>
      </c>
      <c r="M96" s="63">
        <v>2.3707857879024019E-2</v>
      </c>
      <c r="N96" s="63">
        <v>1.3199775708015917E-2</v>
      </c>
      <c r="O96" s="63">
        <v>2.31974173582816E-2</v>
      </c>
      <c r="P96" s="63">
        <v>1.6233171052462216E-2</v>
      </c>
      <c r="Q96" s="63">
        <v>2.9073171779012408E-2</v>
      </c>
      <c r="R96" s="63">
        <v>3.3065027242078299E-2</v>
      </c>
      <c r="S96" s="63">
        <v>1.250729521688017E-2</v>
      </c>
      <c r="T96" s="63">
        <v>7.3328758167536031E-3</v>
      </c>
      <c r="U96" s="63">
        <v>1.9634832162619496E-2</v>
      </c>
      <c r="V96" s="64">
        <v>1.7523318837768472E-2</v>
      </c>
      <c r="W96" s="64">
        <v>7.6274712291535323E-3</v>
      </c>
      <c r="X96" s="64">
        <v>5.9900730203447669E-3</v>
      </c>
      <c r="Y96" s="64">
        <v>1.4692260019352862E-2</v>
      </c>
      <c r="Z96" s="64">
        <v>4.7380510064577016E-3</v>
      </c>
      <c r="AA96" s="64">
        <v>2.3635496301434148E-3</v>
      </c>
      <c r="AB96" s="64">
        <v>3.345034662671892E-3</v>
      </c>
      <c r="AC96" s="64">
        <v>1.2489580194077652E-2</v>
      </c>
      <c r="AD96" s="64">
        <v>1.1962698732537259E-2</v>
      </c>
      <c r="AE96" s="64">
        <v>5.0873277251641197E-3</v>
      </c>
      <c r="AF96" s="64">
        <v>6.0188604812674174E-3</v>
      </c>
      <c r="AG96" s="64">
        <v>3.3198782357667052E-2</v>
      </c>
      <c r="AH96" s="64">
        <v>8.0603079655557214E-3</v>
      </c>
      <c r="AI96" s="64">
        <v>1.9141420426578515E-2</v>
      </c>
      <c r="AJ96" s="64">
        <v>7.6393071202606484E-3</v>
      </c>
      <c r="AK96" s="65"/>
    </row>
    <row r="97" spans="1:37" ht="13.5" hidden="1" customHeight="1">
      <c r="A97" s="44" t="s">
        <v>51</v>
      </c>
      <c r="B97" s="15" t="s">
        <v>9</v>
      </c>
      <c r="C97" s="63">
        <v>6.2751575216990795E-8</v>
      </c>
      <c r="D97" s="63">
        <v>4.8054565780403674E-8</v>
      </c>
      <c r="E97" s="63">
        <v>4.3727674724339168E-8</v>
      </c>
      <c r="F97" s="63">
        <v>7.6444060188504322E-8</v>
      </c>
      <c r="G97" s="63">
        <v>7.231025944173777E-8</v>
      </c>
      <c r="H97" s="63">
        <v>1.6507516323588873E-8</v>
      </c>
      <c r="I97" s="63">
        <v>1.5963106022504237E-7</v>
      </c>
      <c r="J97" s="63">
        <v>0.28828063447320257</v>
      </c>
      <c r="K97" s="63">
        <v>4.6168620774937565E-8</v>
      </c>
      <c r="L97" s="63">
        <v>1.779748728618102E-8</v>
      </c>
      <c r="M97" s="63">
        <v>6.2915717919413764E-8</v>
      </c>
      <c r="N97" s="63">
        <v>3.5029456026047668E-8</v>
      </c>
      <c r="O97" s="63">
        <v>6.1561115070791068E-8</v>
      </c>
      <c r="P97" s="63">
        <v>4.3079455600159458E-8</v>
      </c>
      <c r="Q97" s="63">
        <v>7.7154143744441369E-8</v>
      </c>
      <c r="R97" s="63">
        <v>8.7747696884960867E-8</v>
      </c>
      <c r="S97" s="63">
        <v>3.3191757003752563E-8</v>
      </c>
      <c r="T97" s="63">
        <v>1.9459925429751777E-8</v>
      </c>
      <c r="U97" s="63">
        <v>5.2106755829314768E-8</v>
      </c>
      <c r="V97" s="64">
        <v>4.6503239163772844E-8</v>
      </c>
      <c r="W97" s="64">
        <v>2.0241720308120199E-8</v>
      </c>
      <c r="X97" s="64">
        <v>1.5896406431478771E-8</v>
      </c>
      <c r="Y97" s="64">
        <v>3.8990198595468355E-8</v>
      </c>
      <c r="Z97" s="64">
        <v>1.2573800725954039E-8</v>
      </c>
      <c r="AA97" s="64">
        <v>6.2723685360965025E-9</v>
      </c>
      <c r="AB97" s="64">
        <v>8.8770254293421582E-9</v>
      </c>
      <c r="AC97" s="64">
        <v>3.3144745022186524E-8</v>
      </c>
      <c r="AD97" s="64">
        <v>3.1746511340324715E-8</v>
      </c>
      <c r="AE97" s="64">
        <v>1.3500708404500318E-8</v>
      </c>
      <c r="AF97" s="64">
        <v>1.5972802358106465E-8</v>
      </c>
      <c r="AG97" s="64">
        <v>8.8102655108753257E-8</v>
      </c>
      <c r="AH97" s="64">
        <v>2.1390378873208611E-8</v>
      </c>
      <c r="AI97" s="64">
        <v>5.0797343829239123E-8</v>
      </c>
      <c r="AJ97" s="64">
        <v>2.0273130298428902E-8</v>
      </c>
      <c r="AK97" s="65"/>
    </row>
    <row r="98" spans="1:37" ht="13.5" hidden="1" customHeight="1">
      <c r="A98" s="44" t="s">
        <v>52</v>
      </c>
      <c r="B98" s="15" t="s">
        <v>10</v>
      </c>
      <c r="C98" s="63">
        <v>2.1313841540302595E-3</v>
      </c>
      <c r="D98" s="63">
        <v>3.3067301698650031E-3</v>
      </c>
      <c r="E98" s="63">
        <v>5.5483066617782184E-3</v>
      </c>
      <c r="F98" s="63">
        <v>1.3929042379487091E-3</v>
      </c>
      <c r="G98" s="63">
        <v>2.2398042729472878E-3</v>
      </c>
      <c r="H98" s="63">
        <v>1.0480644112160189E-3</v>
      </c>
      <c r="I98" s="63">
        <v>3.5083034162760795E-3</v>
      </c>
      <c r="J98" s="63">
        <v>2.6139488232575017E-3</v>
      </c>
      <c r="K98" s="63">
        <v>0.78637720931806632</v>
      </c>
      <c r="L98" s="63">
        <v>1.4797279921089443E-2</v>
      </c>
      <c r="M98" s="63">
        <v>7.1980459383353436E-3</v>
      </c>
      <c r="N98" s="63">
        <v>4.5514422501523634E-3</v>
      </c>
      <c r="O98" s="63">
        <v>7.4202752885091372E-3</v>
      </c>
      <c r="P98" s="63">
        <v>4.8034702401752267E-3</v>
      </c>
      <c r="Q98" s="63">
        <v>8.5264233921051608E-3</v>
      </c>
      <c r="R98" s="63">
        <v>7.7246799676190577E-3</v>
      </c>
      <c r="S98" s="63">
        <v>2.9722529762749002E-3</v>
      </c>
      <c r="T98" s="63">
        <v>-2.7681389239031929E-4</v>
      </c>
      <c r="U98" s="63">
        <v>5.4162946285036895E-3</v>
      </c>
      <c r="V98" s="64">
        <v>6.6272355942218975E-2</v>
      </c>
      <c r="W98" s="64">
        <v>1.3864777205379439E-3</v>
      </c>
      <c r="X98" s="64">
        <v>1.2413946611369434E-3</v>
      </c>
      <c r="Y98" s="64">
        <v>4.9890614692074285E-3</v>
      </c>
      <c r="Z98" s="64">
        <v>1.0476252683495578E-3</v>
      </c>
      <c r="AA98" s="64">
        <v>5.7834815868249543E-4</v>
      </c>
      <c r="AB98" s="64">
        <v>5.384039597226377E-3</v>
      </c>
      <c r="AC98" s="64">
        <v>2.0001194259918055E-3</v>
      </c>
      <c r="AD98" s="64">
        <v>2.5484674408642388E-3</v>
      </c>
      <c r="AE98" s="64">
        <v>2.2621112024307785E-3</v>
      </c>
      <c r="AF98" s="64">
        <v>1.756678244640661E-3</v>
      </c>
      <c r="AG98" s="64">
        <v>1.332158707138677E-3</v>
      </c>
      <c r="AH98" s="64">
        <v>3.109847877640958E-3</v>
      </c>
      <c r="AI98" s="64">
        <v>2.7191809134448235E-3</v>
      </c>
      <c r="AJ98" s="64">
        <v>3.1861832142043699E-3</v>
      </c>
      <c r="AK98" s="65"/>
    </row>
    <row r="99" spans="1:37" ht="13.5" hidden="1" customHeight="1">
      <c r="A99" s="44" t="s">
        <v>53</v>
      </c>
      <c r="B99" s="15" t="s">
        <v>54</v>
      </c>
      <c r="C99" s="63">
        <v>3.955553541971725E-3</v>
      </c>
      <c r="D99" s="63">
        <v>1.2146639409906941E-2</v>
      </c>
      <c r="E99" s="63">
        <v>5.2369917018852338E-3</v>
      </c>
      <c r="F99" s="63">
        <v>3.4637767055845825E-3</v>
      </c>
      <c r="G99" s="63">
        <v>6.0741259504233352E-3</v>
      </c>
      <c r="H99" s="63">
        <v>5.7256915024141855E-3</v>
      </c>
      <c r="I99" s="63">
        <v>6.7717577370722485E-3</v>
      </c>
      <c r="J99" s="63">
        <v>1.1318045413627145E-2</v>
      </c>
      <c r="K99" s="63">
        <v>1.9592748501374286E-2</v>
      </c>
      <c r="L99" s="63">
        <v>0.65273359219716709</v>
      </c>
      <c r="M99" s="63">
        <v>0.12634788983950762</v>
      </c>
      <c r="N99" s="63">
        <v>1.3901549593587924E-2</v>
      </c>
      <c r="O99" s="63">
        <v>6.9970891442931824E-2</v>
      </c>
      <c r="P99" s="63">
        <v>6.8635268335368579E-2</v>
      </c>
      <c r="Q99" s="63">
        <v>7.0690780348720464E-2</v>
      </c>
      <c r="R99" s="63">
        <v>4.5105832330318646E-2</v>
      </c>
      <c r="S99" s="63">
        <v>1.6760570238448073E-2</v>
      </c>
      <c r="T99" s="63">
        <v>5.2529355168715224E-3</v>
      </c>
      <c r="U99" s="63">
        <v>1.2060805184196263E-2</v>
      </c>
      <c r="V99" s="64">
        <v>6.2102951569990593E-2</v>
      </c>
      <c r="W99" s="64">
        <v>3.2810086716098851E-3</v>
      </c>
      <c r="X99" s="64">
        <v>5.3278884627910878E-3</v>
      </c>
      <c r="Y99" s="64">
        <v>5.709984005929339E-3</v>
      </c>
      <c r="Z99" s="64">
        <v>3.2377326188706168E-3</v>
      </c>
      <c r="AA99" s="64">
        <v>1.3617640684858671E-3</v>
      </c>
      <c r="AB99" s="64">
        <v>5.8190051077517064E-3</v>
      </c>
      <c r="AC99" s="64">
        <v>6.2919455687411299E-3</v>
      </c>
      <c r="AD99" s="64">
        <v>5.0949519228303533E-3</v>
      </c>
      <c r="AE99" s="64">
        <v>3.9255801269346708E-3</v>
      </c>
      <c r="AF99" s="64">
        <v>3.2434373930907414E-3</v>
      </c>
      <c r="AG99" s="64">
        <v>3.1922419189915007E-3</v>
      </c>
      <c r="AH99" s="64">
        <v>3.9795089569516729E-3</v>
      </c>
      <c r="AI99" s="64">
        <v>1.266321837952362E-2</v>
      </c>
      <c r="AJ99" s="64">
        <v>6.3052355015172134E-3</v>
      </c>
      <c r="AK99" s="65"/>
    </row>
    <row r="100" spans="1:37" ht="13.5" hidden="1" customHeight="1">
      <c r="A100" s="44" t="s">
        <v>55</v>
      </c>
      <c r="B100" s="15" t="s">
        <v>56</v>
      </c>
      <c r="C100" s="63">
        <v>2.7527166492406077E-5</v>
      </c>
      <c r="D100" s="63">
        <v>1.0647070492918276E-4</v>
      </c>
      <c r="E100" s="63">
        <v>6.4265266805432777E-5</v>
      </c>
      <c r="F100" s="63">
        <v>2.4006209709656006E-5</v>
      </c>
      <c r="G100" s="63">
        <v>6.2803592110974605E-5</v>
      </c>
      <c r="H100" s="63">
        <v>6.054167619922998E-5</v>
      </c>
      <c r="I100" s="63">
        <v>4.1283597494903615E-5</v>
      </c>
      <c r="J100" s="63">
        <v>7.229476586759361E-5</v>
      </c>
      <c r="K100" s="63">
        <v>7.3998742642260274E-5</v>
      </c>
      <c r="L100" s="63">
        <v>4.5826256360713743E-5</v>
      </c>
      <c r="M100" s="63">
        <v>3.1516478657725401E-3</v>
      </c>
      <c r="N100" s="63">
        <v>3.8419974971461251E-5</v>
      </c>
      <c r="O100" s="63">
        <v>1.2685386517777677E-4</v>
      </c>
      <c r="P100" s="63">
        <v>3.8992727801289692E-4</v>
      </c>
      <c r="Q100" s="63">
        <v>2.4876444706384239E-4</v>
      </c>
      <c r="R100" s="63">
        <v>1.735005629653445E-4</v>
      </c>
      <c r="S100" s="63">
        <v>7.364253992918533E-5</v>
      </c>
      <c r="T100" s="63">
        <v>3.1311102180859964E-5</v>
      </c>
      <c r="U100" s="63">
        <v>7.8620357707544266E-5</v>
      </c>
      <c r="V100" s="64">
        <v>2.6454910256962395E-4</v>
      </c>
      <c r="W100" s="64">
        <v>2.5709495891922405E-5</v>
      </c>
      <c r="X100" s="64">
        <v>3.3671600544723559E-5</v>
      </c>
      <c r="Y100" s="64">
        <v>5.3599544905442416E-5</v>
      </c>
      <c r="Z100" s="64">
        <v>1.7523418914209065E-5</v>
      </c>
      <c r="AA100" s="64">
        <v>9.9661879318955611E-6</v>
      </c>
      <c r="AB100" s="64">
        <v>2.8553830605136207E-5</v>
      </c>
      <c r="AC100" s="64">
        <v>3.2271638391521242E-5</v>
      </c>
      <c r="AD100" s="64">
        <v>4.281048345357919E-5</v>
      </c>
      <c r="AE100" s="64">
        <v>3.8844734510393713E-5</v>
      </c>
      <c r="AF100" s="64">
        <v>2.5395624279212939E-5</v>
      </c>
      <c r="AG100" s="64">
        <v>1.9892965966442602E-5</v>
      </c>
      <c r="AH100" s="64">
        <v>3.2108844992334457E-5</v>
      </c>
      <c r="AI100" s="64">
        <v>7.9479847524868485E-5</v>
      </c>
      <c r="AJ100" s="64">
        <v>5.0559708455288739E-5</v>
      </c>
      <c r="AK100" s="65"/>
    </row>
    <row r="101" spans="1:37" ht="13.5" hidden="1" customHeight="1">
      <c r="A101" s="44" t="s">
        <v>57</v>
      </c>
      <c r="B101" s="15" t="s">
        <v>58</v>
      </c>
      <c r="C101" s="63">
        <v>1.2025308767064004E-4</v>
      </c>
      <c r="D101" s="63">
        <v>2.0513121814424095E-4</v>
      </c>
      <c r="E101" s="63">
        <v>1.4206872268275427E-4</v>
      </c>
      <c r="F101" s="63">
        <v>1.2060429674945204E-4</v>
      </c>
      <c r="G101" s="63">
        <v>1.9047593250881583E-4</v>
      </c>
      <c r="H101" s="63">
        <v>1.0640367208513747E-4</v>
      </c>
      <c r="I101" s="63">
        <v>1.2786194177683642E-4</v>
      </c>
      <c r="J101" s="63">
        <v>2.0127126855295509E-4</v>
      </c>
      <c r="K101" s="63">
        <v>1.6943613353442505E-4</v>
      </c>
      <c r="L101" s="63">
        <v>1.3463006266719121E-4</v>
      </c>
      <c r="M101" s="63">
        <v>2.6500951562114194E-4</v>
      </c>
      <c r="N101" s="63">
        <v>1.4069018851547309E-2</v>
      </c>
      <c r="O101" s="63">
        <v>9.0923996300585643E-4</v>
      </c>
      <c r="P101" s="63">
        <v>7.2092966028776179E-4</v>
      </c>
      <c r="Q101" s="63">
        <v>5.4258335666569515E-4</v>
      </c>
      <c r="R101" s="63">
        <v>2.2441631776516584E-4</v>
      </c>
      <c r="S101" s="63">
        <v>5.0041529038736827E-4</v>
      </c>
      <c r="T101" s="63">
        <v>1.6917136076579874E-4</v>
      </c>
      <c r="U101" s="63">
        <v>3.1948842707281953E-4</v>
      </c>
      <c r="V101" s="64">
        <v>2.1314127852339006E-4</v>
      </c>
      <c r="W101" s="64">
        <v>2.1112191248117952E-4</v>
      </c>
      <c r="X101" s="64">
        <v>1.4622545565716479E-4</v>
      </c>
      <c r="Y101" s="64">
        <v>2.1240950947875835E-4</v>
      </c>
      <c r="Z101" s="64">
        <v>5.0772708259795606E-4</v>
      </c>
      <c r="AA101" s="64">
        <v>1.0350718515965104E-4</v>
      </c>
      <c r="AB101" s="64">
        <v>9.3596691004108184E-5</v>
      </c>
      <c r="AC101" s="64">
        <v>5.604171291097432E-4</v>
      </c>
      <c r="AD101" s="64">
        <v>2.5906572779755914E-4</v>
      </c>
      <c r="AE101" s="64">
        <v>1.1455678490162723E-4</v>
      </c>
      <c r="AF101" s="64">
        <v>2.1728141972488586E-4</v>
      </c>
      <c r="AG101" s="64">
        <v>1.8774218702524229E-4</v>
      </c>
      <c r="AH101" s="64">
        <v>2.2178193789495953E-4</v>
      </c>
      <c r="AI101" s="64">
        <v>5.4052409187341417E-4</v>
      </c>
      <c r="AJ101" s="64">
        <v>2.7277936429951781E-4</v>
      </c>
      <c r="AK101" s="65"/>
    </row>
    <row r="102" spans="1:37" ht="13.5" hidden="1" customHeight="1">
      <c r="A102" s="44" t="s">
        <v>59</v>
      </c>
      <c r="B102" s="15" t="s">
        <v>11</v>
      </c>
      <c r="C102" s="63">
        <v>6.7012604305290012E-6</v>
      </c>
      <c r="D102" s="63">
        <v>2.7617253252873767E-5</v>
      </c>
      <c r="E102" s="63">
        <v>8.2362169874002992E-6</v>
      </c>
      <c r="F102" s="63">
        <v>7.7027442187274447E-6</v>
      </c>
      <c r="G102" s="63">
        <v>1.1660364303283927E-5</v>
      </c>
      <c r="H102" s="63">
        <v>4.8782923767871145E-6</v>
      </c>
      <c r="I102" s="63">
        <v>7.505960975859349E-6</v>
      </c>
      <c r="J102" s="63">
        <v>1.3017723106324677E-5</v>
      </c>
      <c r="K102" s="63">
        <v>1.7195369261322861E-5</v>
      </c>
      <c r="L102" s="63">
        <v>9.0927099271994114E-6</v>
      </c>
      <c r="M102" s="63">
        <v>1.7603810908934155E-5</v>
      </c>
      <c r="N102" s="63">
        <v>1.8313895039718216E-5</v>
      </c>
      <c r="O102" s="63">
        <v>8.5829779481161556E-4</v>
      </c>
      <c r="P102" s="63">
        <v>4.4039780657949583E-5</v>
      </c>
      <c r="Q102" s="63">
        <v>7.3704890843093396E-5</v>
      </c>
      <c r="R102" s="63">
        <v>1.8002067838999929E-5</v>
      </c>
      <c r="S102" s="63">
        <v>2.8421026782736725E-5</v>
      </c>
      <c r="T102" s="63">
        <v>1.4205791550625605E-5</v>
      </c>
      <c r="U102" s="63">
        <v>3.0908339615859479E-5</v>
      </c>
      <c r="V102" s="64">
        <v>4.3546537763599784E-5</v>
      </c>
      <c r="W102" s="64">
        <v>1.0892408711150927E-5</v>
      </c>
      <c r="X102" s="64">
        <v>1.8321798712555394E-5</v>
      </c>
      <c r="Y102" s="64">
        <v>1.6479403090650952E-5</v>
      </c>
      <c r="Z102" s="64">
        <v>1.9069527058435016E-5</v>
      </c>
      <c r="AA102" s="64">
        <v>5.4389037681771568E-6</v>
      </c>
      <c r="AB102" s="64">
        <v>8.7368359641060396E-6</v>
      </c>
      <c r="AC102" s="64">
        <v>2.7199575853968705E-5</v>
      </c>
      <c r="AD102" s="64">
        <v>2.0960558574198653E-5</v>
      </c>
      <c r="AE102" s="64">
        <v>8.2718328857141368E-6</v>
      </c>
      <c r="AF102" s="64">
        <v>9.3837329165993063E-6</v>
      </c>
      <c r="AG102" s="64">
        <v>6.4622125629725609E-6</v>
      </c>
      <c r="AH102" s="64">
        <v>1.2493793491994738E-5</v>
      </c>
      <c r="AI102" s="64">
        <v>3.9850122620245331E-5</v>
      </c>
      <c r="AJ102" s="64">
        <v>1.126572049384064E-5</v>
      </c>
      <c r="AK102" s="65"/>
    </row>
    <row r="103" spans="1:37" ht="13.5" hidden="1" customHeight="1">
      <c r="A103" s="44" t="s">
        <v>60</v>
      </c>
      <c r="B103" s="15" t="s">
        <v>12</v>
      </c>
      <c r="C103" s="63">
        <v>1.8737396085065529E-4</v>
      </c>
      <c r="D103" s="63">
        <v>1.1525636371841825E-3</v>
      </c>
      <c r="E103" s="63">
        <v>2.3753147707823485E-4</v>
      </c>
      <c r="F103" s="63">
        <v>1.4376310248825436E-4</v>
      </c>
      <c r="G103" s="63">
        <v>2.3925031092274246E-4</v>
      </c>
      <c r="H103" s="63">
        <v>3.7623360874155766E-4</v>
      </c>
      <c r="I103" s="63">
        <v>2.1082962544433635E-4</v>
      </c>
      <c r="J103" s="63">
        <v>3.9221817232533082E-3</v>
      </c>
      <c r="K103" s="63">
        <v>4.1073084486432959E-4</v>
      </c>
      <c r="L103" s="63">
        <v>2.9983215095920253E-4</v>
      </c>
      <c r="M103" s="63">
        <v>9.1024671214951435E-4</v>
      </c>
      <c r="N103" s="63">
        <v>2.841112313187057E-4</v>
      </c>
      <c r="O103" s="63">
        <v>4.356045192630145E-4</v>
      </c>
      <c r="P103" s="63">
        <v>4.2675919035421603E-2</v>
      </c>
      <c r="Q103" s="63">
        <v>1.2194793977519448E-3</v>
      </c>
      <c r="R103" s="63">
        <v>2.7432639653754767E-4</v>
      </c>
      <c r="S103" s="63">
        <v>6.4805905746173479E-4</v>
      </c>
      <c r="T103" s="63">
        <v>3.4585506799775988E-4</v>
      </c>
      <c r="U103" s="63">
        <v>1.3722605387430184E-3</v>
      </c>
      <c r="V103" s="64">
        <v>1.3931434674249032E-3</v>
      </c>
      <c r="W103" s="64">
        <v>1.5701301705441326E-4</v>
      </c>
      <c r="X103" s="64">
        <v>2.3371339904358429E-4</v>
      </c>
      <c r="Y103" s="64">
        <v>2.3053417888919476E-4</v>
      </c>
      <c r="Z103" s="64">
        <v>9.955059198963149E-5</v>
      </c>
      <c r="AA103" s="64">
        <v>5.0723310558164195E-5</v>
      </c>
      <c r="AB103" s="64">
        <v>1.974313047799551E-4</v>
      </c>
      <c r="AC103" s="64">
        <v>2.4667108021254755E-4</v>
      </c>
      <c r="AD103" s="64">
        <v>2.047655949263265E-4</v>
      </c>
      <c r="AE103" s="64">
        <v>1.7688968955650443E-4</v>
      </c>
      <c r="AF103" s="64">
        <v>1.8598508807763311E-4</v>
      </c>
      <c r="AG103" s="64">
        <v>1.3247147982338049E-4</v>
      </c>
      <c r="AH103" s="64">
        <v>1.9723370964975614E-4</v>
      </c>
      <c r="AI103" s="64">
        <v>2.8788136305267617E-4</v>
      </c>
      <c r="AJ103" s="64">
        <v>2.4729227566576368E-4</v>
      </c>
      <c r="AK103" s="65"/>
    </row>
    <row r="104" spans="1:37" ht="13.5" hidden="1" customHeight="1">
      <c r="A104" s="44" t="s">
        <v>61</v>
      </c>
      <c r="B104" s="15" t="s">
        <v>62</v>
      </c>
      <c r="C104" s="63">
        <v>6.5480708664454663E-5</v>
      </c>
      <c r="D104" s="63">
        <v>3.9352868365501756E-4</v>
      </c>
      <c r="E104" s="63">
        <v>6.6980628975032579E-5</v>
      </c>
      <c r="F104" s="63">
        <v>6.9939666689731412E-5</v>
      </c>
      <c r="G104" s="63">
        <v>8.1193377516342575E-5</v>
      </c>
      <c r="H104" s="63">
        <v>2.8032847492268263E-5</v>
      </c>
      <c r="I104" s="63">
        <v>5.6612751066136136E-5</v>
      </c>
      <c r="J104" s="63">
        <v>6.1659998865579293E-5</v>
      </c>
      <c r="K104" s="63">
        <v>1.5403429155940568E-4</v>
      </c>
      <c r="L104" s="63">
        <v>5.7043018085051471E-5</v>
      </c>
      <c r="M104" s="63">
        <v>8.4972924827252268E-5</v>
      </c>
      <c r="N104" s="63">
        <v>4.6361520503858573E-5</v>
      </c>
      <c r="O104" s="63">
        <v>5.2817594075403162E-5</v>
      </c>
      <c r="P104" s="63">
        <v>1.0848406619273764E-4</v>
      </c>
      <c r="Q104" s="63">
        <v>9.4597921812353998E-3</v>
      </c>
      <c r="R104" s="63">
        <v>8.4054923607265367E-5</v>
      </c>
      <c r="S104" s="63">
        <v>4.4179330824383682E-4</v>
      </c>
      <c r="T104" s="63">
        <v>2.6656135520238081E-5</v>
      </c>
      <c r="U104" s="63">
        <v>2.0202974519949678E-4</v>
      </c>
      <c r="V104" s="64">
        <v>5.4475437250368429E-5</v>
      </c>
      <c r="W104" s="64">
        <v>6.7473045844974704E-5</v>
      </c>
      <c r="X104" s="64">
        <v>2.9960133367405825E-4</v>
      </c>
      <c r="Y104" s="64">
        <v>5.4216877755293963E-5</v>
      </c>
      <c r="Z104" s="64">
        <v>3.5679958202949063E-5</v>
      </c>
      <c r="AA104" s="64">
        <v>1.9726390993399042E-5</v>
      </c>
      <c r="AB104" s="64">
        <v>2.0245068003918716E-5</v>
      </c>
      <c r="AC104" s="64">
        <v>1.288701502549454E-4</v>
      </c>
      <c r="AD104" s="64">
        <v>9.7713920189578782E-5</v>
      </c>
      <c r="AE104" s="64">
        <v>1.6062492912797719E-4</v>
      </c>
      <c r="AF104" s="64">
        <v>3.894957971458582E-5</v>
      </c>
      <c r="AG104" s="64">
        <v>3.6473176266747632E-5</v>
      </c>
      <c r="AH104" s="64">
        <v>5.0727837572160822E-5</v>
      </c>
      <c r="AI104" s="64">
        <v>8.9173770407662879E-4</v>
      </c>
      <c r="AJ104" s="64">
        <v>1.7372622150496161E-4</v>
      </c>
      <c r="AK104" s="65"/>
    </row>
    <row r="105" spans="1:37" ht="13.5" hidden="1" customHeight="1">
      <c r="A105" s="44" t="s">
        <v>63</v>
      </c>
      <c r="B105" s="15" t="s">
        <v>64</v>
      </c>
      <c r="C105" s="63">
        <v>2.2293514459261079E-4</v>
      </c>
      <c r="D105" s="63">
        <v>4.0126909396095045E-4</v>
      </c>
      <c r="E105" s="63">
        <v>4.475999122981446E-4</v>
      </c>
      <c r="F105" s="63">
        <v>3.8799646662840485E-4</v>
      </c>
      <c r="G105" s="63">
        <v>3.6698232115698416E-4</v>
      </c>
      <c r="H105" s="63">
        <v>7.3494861372558565E-5</v>
      </c>
      <c r="I105" s="63">
        <v>1.9845658318176475E-4</v>
      </c>
      <c r="J105" s="63">
        <v>2.0549765794908257E-4</v>
      </c>
      <c r="K105" s="63">
        <v>2.7707296737104726E-4</v>
      </c>
      <c r="L105" s="63">
        <v>1.9440181979445451E-4</v>
      </c>
      <c r="M105" s="63">
        <v>3.4988731671411311E-4</v>
      </c>
      <c r="N105" s="63">
        <v>1.583266138111163E-4</v>
      </c>
      <c r="O105" s="63">
        <v>2.1040994983354084E-4</v>
      </c>
      <c r="P105" s="63">
        <v>2.7939807492242502E-4</v>
      </c>
      <c r="Q105" s="63">
        <v>2.2382763837842067E-4</v>
      </c>
      <c r="R105" s="63">
        <v>0.12759393517375214</v>
      </c>
      <c r="S105" s="63">
        <v>5.4213641608802593E-4</v>
      </c>
      <c r="T105" s="63">
        <v>9.9397609902032548E-5</v>
      </c>
      <c r="U105" s="63">
        <v>8.6198596231814716E-4</v>
      </c>
      <c r="V105" s="64">
        <v>1.1135871701504205E-3</v>
      </c>
      <c r="W105" s="64">
        <v>5.6756766678958757E-4</v>
      </c>
      <c r="X105" s="64">
        <v>2.9770041079110472E-4</v>
      </c>
      <c r="Y105" s="64">
        <v>1.8154271096077496E-3</v>
      </c>
      <c r="Z105" s="64">
        <v>5.2012015091344624E-4</v>
      </c>
      <c r="AA105" s="64">
        <v>3.1570624541946282E-4</v>
      </c>
      <c r="AB105" s="64">
        <v>6.8549042349685886E-4</v>
      </c>
      <c r="AC105" s="64">
        <v>9.8210644379207899E-4</v>
      </c>
      <c r="AD105" s="64">
        <v>1.0864454694527322E-3</v>
      </c>
      <c r="AE105" s="64">
        <v>5.1604364210154109E-4</v>
      </c>
      <c r="AF105" s="64">
        <v>2.0242076523908368E-3</v>
      </c>
      <c r="AG105" s="64">
        <v>6.1673793482596307E-4</v>
      </c>
      <c r="AH105" s="64">
        <v>2.2699427553285975E-3</v>
      </c>
      <c r="AI105" s="64">
        <v>1.5352533395701566E-3</v>
      </c>
      <c r="AJ105" s="64">
        <v>8.076748343930337E-4</v>
      </c>
      <c r="AK105" s="65"/>
    </row>
    <row r="106" spans="1:37" ht="13.5" hidden="1" customHeight="1">
      <c r="A106" s="44" t="s">
        <v>65</v>
      </c>
      <c r="B106" s="15" t="s">
        <v>13</v>
      </c>
      <c r="C106" s="63">
        <v>3.4115367784425421E-4</v>
      </c>
      <c r="D106" s="63">
        <v>8.0138337059080698E-4</v>
      </c>
      <c r="E106" s="63">
        <v>8.6638485138191179E-4</v>
      </c>
      <c r="F106" s="63">
        <v>1.5979728847288839E-3</v>
      </c>
      <c r="G106" s="63">
        <v>9.7489219485841845E-4</v>
      </c>
      <c r="H106" s="63">
        <v>1.2450456712843053E-4</v>
      </c>
      <c r="I106" s="63">
        <v>6.7998193583153604E-4</v>
      </c>
      <c r="J106" s="63">
        <v>7.5005313026971828E-4</v>
      </c>
      <c r="K106" s="63">
        <v>8.2665509496334245E-4</v>
      </c>
      <c r="L106" s="63">
        <v>6.1738535184082733E-4</v>
      </c>
      <c r="M106" s="63">
        <v>1.2288699366762928E-3</v>
      </c>
      <c r="N106" s="63">
        <v>1.218260115886135E-3</v>
      </c>
      <c r="O106" s="63">
        <v>9.0669696830499177E-4</v>
      </c>
      <c r="P106" s="63">
        <v>1.7740725537274216E-3</v>
      </c>
      <c r="Q106" s="63">
        <v>1.024413755141045E-3</v>
      </c>
      <c r="R106" s="63">
        <v>1.6560661996099057E-3</v>
      </c>
      <c r="S106" s="63">
        <v>1.9788077449942421E-2</v>
      </c>
      <c r="T106" s="63">
        <v>1.5306828175498552E-4</v>
      </c>
      <c r="U106" s="63">
        <v>4.4161266101258915E-4</v>
      </c>
      <c r="V106" s="64">
        <v>3.8719788367946466E-4</v>
      </c>
      <c r="W106" s="64">
        <v>1.466663975213396E-4</v>
      </c>
      <c r="X106" s="64">
        <v>1.381419499001106E-4</v>
      </c>
      <c r="Y106" s="64">
        <v>3.627284763758655E-4</v>
      </c>
      <c r="Z106" s="64">
        <v>1.4895396710702316E-4</v>
      </c>
      <c r="AA106" s="64">
        <v>6.4143542994480284E-5</v>
      </c>
      <c r="AB106" s="64">
        <v>8.5321492670053318E-5</v>
      </c>
      <c r="AC106" s="64">
        <v>2.0633787947705673E-4</v>
      </c>
      <c r="AD106" s="64">
        <v>2.9781895837057673E-4</v>
      </c>
      <c r="AE106" s="64">
        <v>1.216917726090189E-4</v>
      </c>
      <c r="AF106" s="64">
        <v>1.6651323800460357E-4</v>
      </c>
      <c r="AG106" s="64">
        <v>2.581130273148383E-4</v>
      </c>
      <c r="AH106" s="64">
        <v>2.1765597022179876E-4</v>
      </c>
      <c r="AI106" s="64">
        <v>3.2223678021938416E-4</v>
      </c>
      <c r="AJ106" s="64">
        <v>1.7527756960209807E-4</v>
      </c>
      <c r="AK106" s="65"/>
    </row>
    <row r="107" spans="1:37" ht="13.5" hidden="1" customHeight="1">
      <c r="A107" s="44" t="s">
        <v>66</v>
      </c>
      <c r="B107" s="15" t="s">
        <v>67</v>
      </c>
      <c r="C107" s="63">
        <v>7.6795102046243374E-2</v>
      </c>
      <c r="D107" s="63">
        <v>0.13661608835685229</v>
      </c>
      <c r="E107" s="63">
        <v>7.5479963785645601E-2</v>
      </c>
      <c r="F107" s="63">
        <v>6.7742309643684259E-2</v>
      </c>
      <c r="G107" s="63">
        <v>0.13339061697045332</v>
      </c>
      <c r="H107" s="63">
        <v>5.7855680485252609E-2</v>
      </c>
      <c r="I107" s="63">
        <v>0.1013530066065431</v>
      </c>
      <c r="J107" s="63">
        <v>0.49827530093094063</v>
      </c>
      <c r="K107" s="63">
        <v>0.14335814268607303</v>
      </c>
      <c r="L107" s="63">
        <v>0.17441688076866821</v>
      </c>
      <c r="M107" s="63">
        <v>8.2875215181746092E-2</v>
      </c>
      <c r="N107" s="63">
        <v>8.8587858662994956E-2</v>
      </c>
      <c r="O107" s="63">
        <v>6.3253381164887906E-2</v>
      </c>
      <c r="P107" s="63">
        <v>6.6852064742758885E-2</v>
      </c>
      <c r="Q107" s="63">
        <v>8.1479466939753692E-2</v>
      </c>
      <c r="R107" s="63">
        <v>5.9897462294568098E-2</v>
      </c>
      <c r="S107" s="63">
        <v>4.4141994102406913E-2</v>
      </c>
      <c r="T107" s="63">
        <v>1.8324816874261258</v>
      </c>
      <c r="U107" s="63">
        <v>7.0369909741969786E-2</v>
      </c>
      <c r="V107" s="64">
        <v>5.3113393053793923E-2</v>
      </c>
      <c r="W107" s="64">
        <v>3.7586195205188848E-2</v>
      </c>
      <c r="X107" s="64">
        <v>4.9879073838335959E-2</v>
      </c>
      <c r="Y107" s="64">
        <v>5.0013042412425469E-2</v>
      </c>
      <c r="Z107" s="64">
        <v>2.6781199177818925E-2</v>
      </c>
      <c r="AA107" s="64">
        <v>1.7902426803735254E-2</v>
      </c>
      <c r="AB107" s="64">
        <v>2.5004891059002644E-2</v>
      </c>
      <c r="AC107" s="64">
        <v>5.8440391718190911E-2</v>
      </c>
      <c r="AD107" s="64">
        <v>2.4342122066428936E-2</v>
      </c>
      <c r="AE107" s="64">
        <v>2.0440525853666323E-2</v>
      </c>
      <c r="AF107" s="64">
        <v>5.5956726503839267E-2</v>
      </c>
      <c r="AG107" s="64">
        <v>3.8291603109121393E-2</v>
      </c>
      <c r="AH107" s="64">
        <v>4.5163112426884908E-2</v>
      </c>
      <c r="AI107" s="64">
        <v>4.8808649815315894E-2</v>
      </c>
      <c r="AJ107" s="64">
        <v>2.6400160753310222E-2</v>
      </c>
      <c r="AK107" s="65"/>
    </row>
    <row r="108" spans="1:37" ht="13.5" hidden="1" customHeight="1">
      <c r="A108" s="44" t="s">
        <v>68</v>
      </c>
      <c r="B108" s="15" t="s">
        <v>14</v>
      </c>
      <c r="C108" s="63">
        <v>2.5205650331920895E-3</v>
      </c>
      <c r="D108" s="63">
        <v>3.3778476100552492E-3</v>
      </c>
      <c r="E108" s="63">
        <v>4.192560894552045E-3</v>
      </c>
      <c r="F108" s="63">
        <v>4.5788477296874082E-3</v>
      </c>
      <c r="G108" s="63">
        <v>7.8760528552128083E-3</v>
      </c>
      <c r="H108" s="63">
        <v>9.6534490014369638E-4</v>
      </c>
      <c r="I108" s="63">
        <v>8.5173029176792477E-3</v>
      </c>
      <c r="J108" s="63">
        <v>8.3330607197311876E-3</v>
      </c>
      <c r="K108" s="63">
        <v>8.6782172251445681E-3</v>
      </c>
      <c r="L108" s="63">
        <v>1.6138533738529665E-2</v>
      </c>
      <c r="M108" s="63">
        <v>8.0226851974556073E-3</v>
      </c>
      <c r="N108" s="63">
        <v>1.6990036844638046E-3</v>
      </c>
      <c r="O108" s="63">
        <v>3.9813582229709316E-3</v>
      </c>
      <c r="P108" s="63">
        <v>5.4345657079564683E-3</v>
      </c>
      <c r="Q108" s="63">
        <v>4.4319350229975419E-3</v>
      </c>
      <c r="R108" s="63">
        <v>4.4265725898356345E-3</v>
      </c>
      <c r="S108" s="63">
        <v>3.2880277443931307E-3</v>
      </c>
      <c r="T108" s="63">
        <v>1.8824723580835219E-3</v>
      </c>
      <c r="U108" s="63">
        <v>0.46127731186765181</v>
      </c>
      <c r="V108" s="64">
        <v>4.1224269565363096E-3</v>
      </c>
      <c r="W108" s="64">
        <v>1.7490435032358437E-3</v>
      </c>
      <c r="X108" s="64">
        <v>2.063135932116779E-3</v>
      </c>
      <c r="Y108" s="64">
        <v>8.1930853160828536E-3</v>
      </c>
      <c r="Z108" s="64">
        <v>1.8669987290613665E-3</v>
      </c>
      <c r="AA108" s="64">
        <v>1.493726773034378E-3</v>
      </c>
      <c r="AB108" s="64">
        <v>5.2828697586032826E-3</v>
      </c>
      <c r="AC108" s="64">
        <v>2.9990568539713137E-3</v>
      </c>
      <c r="AD108" s="64">
        <v>2.9197680135022996E-3</v>
      </c>
      <c r="AE108" s="64">
        <v>3.1407005274698054E-3</v>
      </c>
      <c r="AF108" s="64">
        <v>5.2635639100581319E-3</v>
      </c>
      <c r="AG108" s="64">
        <v>5.8536140506899878E-3</v>
      </c>
      <c r="AH108" s="64">
        <v>4.5206474139699304E-3</v>
      </c>
      <c r="AI108" s="64">
        <v>5.7969339937421326E-3</v>
      </c>
      <c r="AJ108" s="64">
        <v>3.9429909749154803E-3</v>
      </c>
      <c r="AK108" s="65"/>
    </row>
    <row r="109" spans="1:37" ht="13.5" hidden="1" customHeight="1">
      <c r="A109" s="44" t="s">
        <v>69</v>
      </c>
      <c r="B109" s="15" t="s">
        <v>70</v>
      </c>
      <c r="C109" s="63">
        <v>1.5279695322347341E-5</v>
      </c>
      <c r="D109" s="63">
        <v>4.3433013987047918E-5</v>
      </c>
      <c r="E109" s="63">
        <v>1.5876877016236935E-5</v>
      </c>
      <c r="F109" s="63">
        <v>1.1934925064186293E-5</v>
      </c>
      <c r="G109" s="63">
        <v>1.7675771274592613E-5</v>
      </c>
      <c r="H109" s="63">
        <v>6.1966529971627319E-6</v>
      </c>
      <c r="I109" s="63">
        <v>1.2216751548709296E-5</v>
      </c>
      <c r="J109" s="63">
        <v>1.4906132109195471E-5</v>
      </c>
      <c r="K109" s="63">
        <v>1.7743143047688657E-5</v>
      </c>
      <c r="L109" s="63">
        <v>1.3407867473354043E-5</v>
      </c>
      <c r="M109" s="63">
        <v>1.6330242534924691E-5</v>
      </c>
      <c r="N109" s="63">
        <v>7.8706192905607722E-6</v>
      </c>
      <c r="O109" s="63">
        <v>1.2675705046816463E-5</v>
      </c>
      <c r="P109" s="63">
        <v>1.2858394118399476E-5</v>
      </c>
      <c r="Q109" s="63">
        <v>1.069270447366512E-5</v>
      </c>
      <c r="R109" s="63">
        <v>1.6185438047498656E-5</v>
      </c>
      <c r="S109" s="63">
        <v>1.2249670143105036E-5</v>
      </c>
      <c r="T109" s="63">
        <v>1.6022349099880853E-5</v>
      </c>
      <c r="U109" s="63">
        <v>3.0479237109887606E-5</v>
      </c>
      <c r="V109" s="64">
        <v>5.3090217928102364E-3</v>
      </c>
      <c r="W109" s="64">
        <v>3.2771369230863944E-5</v>
      </c>
      <c r="X109" s="64">
        <v>1.2772323124762057E-5</v>
      </c>
      <c r="Y109" s="64">
        <v>4.9596838884067074E-5</v>
      </c>
      <c r="Z109" s="64">
        <v>2.2092705666544686E-5</v>
      </c>
      <c r="AA109" s="64">
        <v>1.42157555876757E-5</v>
      </c>
      <c r="AB109" s="64">
        <v>3.831713786249746E-4</v>
      </c>
      <c r="AC109" s="64">
        <v>3.1837912595976307E-5</v>
      </c>
      <c r="AD109" s="64">
        <v>2.744528922505909E-5</v>
      </c>
      <c r="AE109" s="64">
        <v>2.8045820182859329E-5</v>
      </c>
      <c r="AF109" s="64">
        <v>2.2096273562515658E-5</v>
      </c>
      <c r="AG109" s="64">
        <v>1.6535425126974639E-5</v>
      </c>
      <c r="AH109" s="64">
        <v>2.5611596422357031E-5</v>
      </c>
      <c r="AI109" s="64">
        <v>2.9752966861911374E-5</v>
      </c>
      <c r="AJ109" s="64">
        <v>3.5547226496804653E-5</v>
      </c>
      <c r="AK109" s="65"/>
    </row>
    <row r="110" spans="1:37" ht="13.5" hidden="1" customHeight="1">
      <c r="A110" s="44" t="s">
        <v>71</v>
      </c>
      <c r="B110" s="15" t="s">
        <v>42</v>
      </c>
      <c r="C110" s="63">
        <v>3.510055793667482E-4</v>
      </c>
      <c r="D110" s="63">
        <v>1.7644728705822819E-4</v>
      </c>
      <c r="E110" s="63">
        <v>4.5352577717797105E-4</v>
      </c>
      <c r="F110" s="63">
        <v>4.5057311177335019E-4</v>
      </c>
      <c r="G110" s="63">
        <v>3.8487306412696333E-4</v>
      </c>
      <c r="H110" s="63">
        <v>6.8007878057568265E-5</v>
      </c>
      <c r="I110" s="63">
        <v>2.5143011331412861E-4</v>
      </c>
      <c r="J110" s="63">
        <v>2.6536100415046739E-4</v>
      </c>
      <c r="K110" s="63">
        <v>2.7888017376762655E-4</v>
      </c>
      <c r="L110" s="63">
        <v>1.6232333744934383E-4</v>
      </c>
      <c r="M110" s="63">
        <v>2.4727857893966511E-4</v>
      </c>
      <c r="N110" s="63">
        <v>2.195941763206308E-4</v>
      </c>
      <c r="O110" s="63">
        <v>2.7614890035741833E-4</v>
      </c>
      <c r="P110" s="63">
        <v>2.8139854457617265E-4</v>
      </c>
      <c r="Q110" s="63">
        <v>3.2402315701370634E-4</v>
      </c>
      <c r="R110" s="63">
        <v>4.6763049293274488E-4</v>
      </c>
      <c r="S110" s="63">
        <v>2.0954506116831119E-4</v>
      </c>
      <c r="T110" s="63">
        <v>1.3809793657881811E-4</v>
      </c>
      <c r="U110" s="63">
        <v>1.9792155369238238E-4</v>
      </c>
      <c r="V110" s="64">
        <v>2.5236397116347041E-4</v>
      </c>
      <c r="W110" s="64">
        <v>3.8621895292705317E-3</v>
      </c>
      <c r="X110" s="64">
        <v>1.2014869474269339E-4</v>
      </c>
      <c r="Y110" s="64">
        <v>4.7067129344969486E-4</v>
      </c>
      <c r="Z110" s="64">
        <v>2.3160973662897412E-4</v>
      </c>
      <c r="AA110" s="64">
        <v>5.4484401976964473E-5</v>
      </c>
      <c r="AB110" s="64">
        <v>5.8084771960534492E-5</v>
      </c>
      <c r="AC110" s="64">
        <v>1.6855869686748746E-4</v>
      </c>
      <c r="AD110" s="64">
        <v>1.4607229916463512E-4</v>
      </c>
      <c r="AE110" s="64">
        <v>9.2928600069606582E-5</v>
      </c>
      <c r="AF110" s="64">
        <v>1.3229572087868757E-4</v>
      </c>
      <c r="AG110" s="64">
        <v>3.0728535893092803E-4</v>
      </c>
      <c r="AH110" s="64">
        <v>2.1101989118378349E-4</v>
      </c>
      <c r="AI110" s="64">
        <v>2.974104003610224E-4</v>
      </c>
      <c r="AJ110" s="64">
        <v>1.4058551211635834E-4</v>
      </c>
      <c r="AK110" s="65"/>
    </row>
    <row r="111" spans="1:37" ht="13.5" hidden="1" customHeight="1">
      <c r="A111" s="44" t="s">
        <v>72</v>
      </c>
      <c r="B111" s="15" t="s">
        <v>15</v>
      </c>
      <c r="C111" s="63">
        <v>2.2919112509044607E-2</v>
      </c>
      <c r="D111" s="63">
        <v>8.2141125927381778E-2</v>
      </c>
      <c r="E111" s="63">
        <v>3.3041260426370768E-2</v>
      </c>
      <c r="F111" s="63">
        <v>3.1590540408656449E-2</v>
      </c>
      <c r="G111" s="63">
        <v>3.695343215820427E-2</v>
      </c>
      <c r="H111" s="63">
        <v>7.5804863027801638E-3</v>
      </c>
      <c r="I111" s="63">
        <v>2.6063614670412152E-2</v>
      </c>
      <c r="J111" s="63">
        <v>2.580660885183516E-2</v>
      </c>
      <c r="K111" s="63">
        <v>7.8985038562801882E-2</v>
      </c>
      <c r="L111" s="63">
        <v>2.3899890486201537E-2</v>
      </c>
      <c r="M111" s="63">
        <v>2.7899673811459615E-2</v>
      </c>
      <c r="N111" s="63">
        <v>1.3968796320009689E-2</v>
      </c>
      <c r="O111" s="63">
        <v>2.0036143656378805E-2</v>
      </c>
      <c r="P111" s="63">
        <v>2.4696281920149814E-2</v>
      </c>
      <c r="Q111" s="63">
        <v>2.0744731993222385E-2</v>
      </c>
      <c r="R111" s="63">
        <v>3.4383617930726355E-2</v>
      </c>
      <c r="S111" s="63">
        <v>1.7854597538964786E-2</v>
      </c>
      <c r="T111" s="63">
        <v>6.6985437856450416E-3</v>
      </c>
      <c r="U111" s="63">
        <v>4.5911491609016336E-2</v>
      </c>
      <c r="V111" s="64">
        <v>2.1973936358027246E-2</v>
      </c>
      <c r="W111" s="64">
        <v>4.443389968768733E-2</v>
      </c>
      <c r="X111" s="64">
        <v>0.49877345475514762</v>
      </c>
      <c r="Y111" s="64">
        <v>2.4441530358448198E-2</v>
      </c>
      <c r="Z111" s="64">
        <v>1.0400785729815567E-2</v>
      </c>
      <c r="AA111" s="64">
        <v>4.8689790048645218E-3</v>
      </c>
      <c r="AB111" s="64">
        <v>5.6452671366748483E-3</v>
      </c>
      <c r="AC111" s="64">
        <v>1.3855363105384507E-2</v>
      </c>
      <c r="AD111" s="64">
        <v>1.475178648618506E-2</v>
      </c>
      <c r="AE111" s="64">
        <v>1.0178466553600142E-2</v>
      </c>
      <c r="AF111" s="64">
        <v>8.3036948389585193E-3</v>
      </c>
      <c r="AG111" s="64">
        <v>1.2430708667340357E-2</v>
      </c>
      <c r="AH111" s="64">
        <v>1.1621519925397231E-2</v>
      </c>
      <c r="AI111" s="64">
        <v>1.8212100808940309E-2</v>
      </c>
      <c r="AJ111" s="64">
        <v>3.0704626548622788E-2</v>
      </c>
      <c r="AK111" s="65"/>
    </row>
    <row r="112" spans="1:37" ht="13.5" hidden="1" customHeight="1">
      <c r="A112" s="44" t="s">
        <v>73</v>
      </c>
      <c r="B112" s="15" t="s">
        <v>16</v>
      </c>
      <c r="C112" s="63">
        <v>1.7563363702079288E-4</v>
      </c>
      <c r="D112" s="63">
        <v>3.6593783072411926E-4</v>
      </c>
      <c r="E112" s="63">
        <v>2.054152052326266E-4</v>
      </c>
      <c r="F112" s="63">
        <v>2.3117896241809757E-4</v>
      </c>
      <c r="G112" s="63">
        <v>2.6784436400844068E-4</v>
      </c>
      <c r="H112" s="63">
        <v>5.1288526807835318E-5</v>
      </c>
      <c r="I112" s="63">
        <v>1.6490661933168783E-4</v>
      </c>
      <c r="J112" s="63">
        <v>1.7438294005970629E-4</v>
      </c>
      <c r="K112" s="63">
        <v>2.4540126267551563E-4</v>
      </c>
      <c r="L112" s="63">
        <v>1.4765101325063057E-4</v>
      </c>
      <c r="M112" s="63">
        <v>2.3246351107847032E-4</v>
      </c>
      <c r="N112" s="63">
        <v>1.3898807654590434E-4</v>
      </c>
      <c r="O112" s="63">
        <v>1.6329271940659912E-4</v>
      </c>
      <c r="P112" s="63">
        <v>2.3477209201251334E-4</v>
      </c>
      <c r="Q112" s="63">
        <v>1.9292824834235556E-4</v>
      </c>
      <c r="R112" s="63">
        <v>2.6911906927313916E-4</v>
      </c>
      <c r="S112" s="63">
        <v>4.2907333642916423E-4</v>
      </c>
      <c r="T112" s="63">
        <v>8.0916586460934092E-5</v>
      </c>
      <c r="U112" s="63">
        <v>3.1476498307334109E-4</v>
      </c>
      <c r="V112" s="64">
        <v>1.8472539650216745E-4</v>
      </c>
      <c r="W112" s="64">
        <v>5.2648802048144193E-4</v>
      </c>
      <c r="X112" s="64">
        <v>1.8052435347608111E-4</v>
      </c>
      <c r="Y112" s="64">
        <v>1.0292482748231408E-2</v>
      </c>
      <c r="Z112" s="64">
        <v>2.7699440729432524E-4</v>
      </c>
      <c r="AA112" s="64">
        <v>2.8696163388233613E-4</v>
      </c>
      <c r="AB112" s="64">
        <v>1.7745424812632009E-4</v>
      </c>
      <c r="AC112" s="64">
        <v>4.8354605008325434E-4</v>
      </c>
      <c r="AD112" s="64">
        <v>4.4019523986983455E-4</v>
      </c>
      <c r="AE112" s="64">
        <v>3.3572895412631261E-4</v>
      </c>
      <c r="AF112" s="64">
        <v>3.4829786761181346E-4</v>
      </c>
      <c r="AG112" s="64">
        <v>3.4504907583768975E-4</v>
      </c>
      <c r="AH112" s="64">
        <v>4.6947853841700332E-4</v>
      </c>
      <c r="AI112" s="64">
        <v>7.3742171367540386E-4</v>
      </c>
      <c r="AJ112" s="64">
        <v>3.3636848010720933E-4</v>
      </c>
      <c r="AK112" s="65"/>
    </row>
    <row r="113" spans="1:37" ht="13.5" hidden="1" customHeight="1">
      <c r="A113" s="44" t="s">
        <v>74</v>
      </c>
      <c r="B113" s="15" t="s">
        <v>17</v>
      </c>
      <c r="C113" s="63">
        <v>6.602948488445461E-6</v>
      </c>
      <c r="D113" s="63">
        <v>9.7454339340246931E-6</v>
      </c>
      <c r="E113" s="63">
        <v>8.6240571357569927E-6</v>
      </c>
      <c r="F113" s="63">
        <v>7.5491815469424303E-6</v>
      </c>
      <c r="G113" s="63">
        <v>1.055836153240486E-5</v>
      </c>
      <c r="H113" s="63">
        <v>3.2297963426573578E-6</v>
      </c>
      <c r="I113" s="63">
        <v>6.8473596160188057E-6</v>
      </c>
      <c r="J113" s="63">
        <v>6.9804421044449917E-6</v>
      </c>
      <c r="K113" s="63">
        <v>9.1514383152565582E-6</v>
      </c>
      <c r="L113" s="63">
        <v>6.3184688669043145E-6</v>
      </c>
      <c r="M113" s="63">
        <v>8.4447619595394742E-6</v>
      </c>
      <c r="N113" s="63">
        <v>6.3339959621843137E-6</v>
      </c>
      <c r="O113" s="63">
        <v>7.0705323453887816E-6</v>
      </c>
      <c r="P113" s="63">
        <v>8.4711343218647905E-6</v>
      </c>
      <c r="Q113" s="63">
        <v>7.8561239152037467E-6</v>
      </c>
      <c r="R113" s="63">
        <v>1.2802627227482242E-5</v>
      </c>
      <c r="S113" s="63">
        <v>9.1831855348300735E-6</v>
      </c>
      <c r="T113" s="63">
        <v>3.219389227512524E-6</v>
      </c>
      <c r="U113" s="63">
        <v>1.4145191706638915E-5</v>
      </c>
      <c r="V113" s="64">
        <v>9.0108253300491156E-6</v>
      </c>
      <c r="W113" s="64">
        <v>2.0133812283431376E-5</v>
      </c>
      <c r="X113" s="64">
        <v>9.798832091719605E-6</v>
      </c>
      <c r="Y113" s="64">
        <v>1.2651211177631788E-5</v>
      </c>
      <c r="Z113" s="64">
        <v>5.3709004801812588E-4</v>
      </c>
      <c r="AA113" s="64">
        <v>2.805122812529102E-5</v>
      </c>
      <c r="AB113" s="64">
        <v>7.3078162658121205E-6</v>
      </c>
      <c r="AC113" s="64">
        <v>3.9416469378131269E-5</v>
      </c>
      <c r="AD113" s="64">
        <v>1.5172176155783579E-5</v>
      </c>
      <c r="AE113" s="64">
        <v>1.3284836684908441E-5</v>
      </c>
      <c r="AF113" s="64">
        <v>1.9209944213726163E-5</v>
      </c>
      <c r="AG113" s="64">
        <v>7.9566629660466759E-6</v>
      </c>
      <c r="AH113" s="64">
        <v>3.8324724931051644E-5</v>
      </c>
      <c r="AI113" s="64">
        <v>1.6164923567682668E-5</v>
      </c>
      <c r="AJ113" s="64">
        <v>1.6499154290446764E-5</v>
      </c>
      <c r="AK113" s="65"/>
    </row>
    <row r="114" spans="1:37" ht="13.5" hidden="1" customHeight="1">
      <c r="A114" s="44" t="s">
        <v>75</v>
      </c>
      <c r="B114" s="15" t="s">
        <v>76</v>
      </c>
      <c r="C114" s="63">
        <v>1.9100497511504562E-5</v>
      </c>
      <c r="D114" s="63">
        <v>1.6786296738609391E-5</v>
      </c>
      <c r="E114" s="63">
        <v>1.7998376146482999E-5</v>
      </c>
      <c r="F114" s="63">
        <v>1.9195022358309152E-5</v>
      </c>
      <c r="G114" s="63">
        <v>2.0938551652970573E-5</v>
      </c>
      <c r="H114" s="63">
        <v>6.8417063147520889E-6</v>
      </c>
      <c r="I114" s="63">
        <v>1.485318570253794E-5</v>
      </c>
      <c r="J114" s="63">
        <v>1.6683460257231645E-5</v>
      </c>
      <c r="K114" s="63">
        <v>1.926102076519227E-5</v>
      </c>
      <c r="L114" s="63">
        <v>1.2561300019156109E-5</v>
      </c>
      <c r="M114" s="63">
        <v>1.8469339606860244E-5</v>
      </c>
      <c r="N114" s="63">
        <v>1.1959073649807853E-5</v>
      </c>
      <c r="O114" s="63">
        <v>1.4948092799057143E-5</v>
      </c>
      <c r="P114" s="63">
        <v>1.9538080625282978E-5</v>
      </c>
      <c r="Q114" s="63">
        <v>1.7008305158827614E-5</v>
      </c>
      <c r="R114" s="63">
        <v>1.9528132251967292E-5</v>
      </c>
      <c r="S114" s="63">
        <v>1.2790655182966768E-5</v>
      </c>
      <c r="T114" s="63">
        <v>1.0939176579154312E-5</v>
      </c>
      <c r="U114" s="63">
        <v>2.0529544595206919E-5</v>
      </c>
      <c r="V114" s="64">
        <v>1.8111768681509649E-5</v>
      </c>
      <c r="W114" s="64">
        <v>2.4805044644947411E-5</v>
      </c>
      <c r="X114" s="64">
        <v>1.3762580976039805E-5</v>
      </c>
      <c r="Y114" s="64">
        <v>2.3873733514610668E-5</v>
      </c>
      <c r="Z114" s="64">
        <v>1.4164677322120227E-5</v>
      </c>
      <c r="AA114" s="64">
        <v>6.9344028015274055E-4</v>
      </c>
      <c r="AB114" s="64">
        <v>5.7052438298547611E-5</v>
      </c>
      <c r="AC114" s="64">
        <v>1.4562095752918571E-5</v>
      </c>
      <c r="AD114" s="64">
        <v>1.3781972566186961E-5</v>
      </c>
      <c r="AE114" s="64">
        <v>1.7573341946291309E-5</v>
      </c>
      <c r="AF114" s="64">
        <v>1.956880219703858E-5</v>
      </c>
      <c r="AG114" s="64">
        <v>2.0471090613681547E-5</v>
      </c>
      <c r="AH114" s="64">
        <v>1.936531896696758E-5</v>
      </c>
      <c r="AI114" s="64">
        <v>2.480949649136041E-5</v>
      </c>
      <c r="AJ114" s="64">
        <v>1.7358601258033977E-5</v>
      </c>
      <c r="AK114" s="65"/>
    </row>
    <row r="115" spans="1:37" ht="13.5" hidden="1" customHeight="1">
      <c r="A115" s="44" t="s">
        <v>77</v>
      </c>
      <c r="B115" s="15" t="s">
        <v>43</v>
      </c>
      <c r="C115" s="63">
        <v>8.9615722729414416E-6</v>
      </c>
      <c r="D115" s="63">
        <v>1.0829171369055874E-5</v>
      </c>
      <c r="E115" s="63">
        <v>1.310511041821717E-5</v>
      </c>
      <c r="F115" s="63">
        <v>1.4390236400246136E-5</v>
      </c>
      <c r="G115" s="63">
        <v>1.4194175257310122E-5</v>
      </c>
      <c r="H115" s="63">
        <v>3.0022919050620979E-6</v>
      </c>
      <c r="I115" s="63">
        <v>8.9293065252519398E-6</v>
      </c>
      <c r="J115" s="63">
        <v>9.2325773610137794E-6</v>
      </c>
      <c r="K115" s="63">
        <v>1.1377234073028185E-5</v>
      </c>
      <c r="L115" s="63">
        <v>7.3545041455980524E-6</v>
      </c>
      <c r="M115" s="63">
        <v>1.0079955058349318E-5</v>
      </c>
      <c r="N115" s="63">
        <v>7.2074333433136844E-6</v>
      </c>
      <c r="O115" s="63">
        <v>9.864828394059135E-6</v>
      </c>
      <c r="P115" s="63">
        <v>1.0257278387655452E-5</v>
      </c>
      <c r="Q115" s="63">
        <v>1.0306303088426602E-5</v>
      </c>
      <c r="R115" s="63">
        <v>1.6797464492901579E-5</v>
      </c>
      <c r="S115" s="63">
        <v>1.3599304352961387E-5</v>
      </c>
      <c r="T115" s="63">
        <v>4.2367210850671534E-6</v>
      </c>
      <c r="U115" s="63">
        <v>2.1757463224424749E-5</v>
      </c>
      <c r="V115" s="64">
        <v>1.083770667047992E-5</v>
      </c>
      <c r="W115" s="64">
        <v>5.3734755774110522E-5</v>
      </c>
      <c r="X115" s="64">
        <v>1.3371249712359422E-5</v>
      </c>
      <c r="Y115" s="64">
        <v>5.4149404550298445E-5</v>
      </c>
      <c r="Z115" s="64">
        <v>1.8144831401597695E-5</v>
      </c>
      <c r="AA115" s="64">
        <v>2.2405582800552999E-5</v>
      </c>
      <c r="AB115" s="64">
        <v>9.0029711086992651E-4</v>
      </c>
      <c r="AC115" s="64">
        <v>3.2203480456323811E-5</v>
      </c>
      <c r="AD115" s="64">
        <v>2.1567563631030068E-5</v>
      </c>
      <c r="AE115" s="64">
        <v>6.9793017037085407E-6</v>
      </c>
      <c r="AF115" s="64">
        <v>2.9086155048220755E-5</v>
      </c>
      <c r="AG115" s="64">
        <v>2.4566804857280519E-5</v>
      </c>
      <c r="AH115" s="64">
        <v>1.7939840879990454E-5</v>
      </c>
      <c r="AI115" s="64">
        <v>3.1130425220825377E-5</v>
      </c>
      <c r="AJ115" s="64">
        <v>8.6486820814789281E-6</v>
      </c>
      <c r="AK115" s="65"/>
    </row>
    <row r="116" spans="1:37" ht="13.5" hidden="1" customHeight="1">
      <c r="A116" s="44" t="s">
        <v>78</v>
      </c>
      <c r="B116" s="15" t="s">
        <v>18</v>
      </c>
      <c r="C116" s="63">
        <v>2.7951538838389594E-4</v>
      </c>
      <c r="D116" s="63">
        <v>4.5130690374814653E-4</v>
      </c>
      <c r="E116" s="63">
        <v>4.9968786038670932E-4</v>
      </c>
      <c r="F116" s="63">
        <v>3.1108754273725996E-4</v>
      </c>
      <c r="G116" s="63">
        <v>3.6045526326214416E-4</v>
      </c>
      <c r="H116" s="63">
        <v>1.3793716728360307E-4</v>
      </c>
      <c r="I116" s="63">
        <v>4.1774548205493554E-4</v>
      </c>
      <c r="J116" s="63">
        <v>4.0521533603162614E-4</v>
      </c>
      <c r="K116" s="63">
        <v>4.5371389518580028E-4</v>
      </c>
      <c r="L116" s="63">
        <v>3.2478845292876265E-4</v>
      </c>
      <c r="M116" s="63">
        <v>3.7302460481075786E-4</v>
      </c>
      <c r="N116" s="63">
        <v>2.7320971100254894E-4</v>
      </c>
      <c r="O116" s="63">
        <v>3.7809007892646354E-4</v>
      </c>
      <c r="P116" s="63">
        <v>4.1540747612663938E-4</v>
      </c>
      <c r="Q116" s="63">
        <v>4.1325210356427312E-4</v>
      </c>
      <c r="R116" s="63">
        <v>4.7021963756912837E-4</v>
      </c>
      <c r="S116" s="63">
        <v>3.9301409426833821E-4</v>
      </c>
      <c r="T116" s="63">
        <v>1.5493476791010713E-4</v>
      </c>
      <c r="U116" s="63">
        <v>5.6750056652348597E-4</v>
      </c>
      <c r="V116" s="64">
        <v>6.3497433406001593E-4</v>
      </c>
      <c r="W116" s="64">
        <v>4.0101190848686674E-4</v>
      </c>
      <c r="X116" s="64">
        <v>2.9068858790426091E-4</v>
      </c>
      <c r="Y116" s="64">
        <v>3.6038655421989163E-4</v>
      </c>
      <c r="Z116" s="64">
        <v>4.2290050625558534E-4</v>
      </c>
      <c r="AA116" s="64">
        <v>2.2024823398596587E-4</v>
      </c>
      <c r="AB116" s="64">
        <v>1.9089712321859601E-4</v>
      </c>
      <c r="AC116" s="64">
        <v>5.7927754251089932E-3</v>
      </c>
      <c r="AD116" s="64">
        <v>3.6452258946811765E-4</v>
      </c>
      <c r="AE116" s="64">
        <v>1.5746331268853567E-4</v>
      </c>
      <c r="AF116" s="64">
        <v>2.6059470971109583E-4</v>
      </c>
      <c r="AG116" s="64">
        <v>1.6534342424603647E-4</v>
      </c>
      <c r="AH116" s="64">
        <v>2.4947872963462228E-4</v>
      </c>
      <c r="AI116" s="64">
        <v>3.4029743052608135E-4</v>
      </c>
      <c r="AJ116" s="64">
        <v>1.8805876720809971E-4</v>
      </c>
      <c r="AK116" s="65"/>
    </row>
    <row r="117" spans="1:37" ht="13.5" hidden="1" customHeight="1">
      <c r="A117" s="44" t="s">
        <v>79</v>
      </c>
      <c r="B117" s="15" t="s">
        <v>80</v>
      </c>
      <c r="C117" s="63">
        <v>1.8260275862565662E-5</v>
      </c>
      <c r="D117" s="63">
        <v>7.9269552929440477E-5</v>
      </c>
      <c r="E117" s="63">
        <v>2.6950590723155732E-5</v>
      </c>
      <c r="F117" s="63">
        <v>2.8909081484954662E-5</v>
      </c>
      <c r="G117" s="63">
        <v>3.604256216793579E-5</v>
      </c>
      <c r="H117" s="63">
        <v>9.3594024530556865E-6</v>
      </c>
      <c r="I117" s="63">
        <v>2.1997056171640472E-5</v>
      </c>
      <c r="J117" s="63">
        <v>2.4009878676635439E-5</v>
      </c>
      <c r="K117" s="63">
        <v>3.681594289253333E-5</v>
      </c>
      <c r="L117" s="63">
        <v>2.873234087580466E-5</v>
      </c>
      <c r="M117" s="63">
        <v>3.3654988924062838E-5</v>
      </c>
      <c r="N117" s="63">
        <v>2.3633368506624262E-5</v>
      </c>
      <c r="O117" s="63">
        <v>2.431175887224978E-5</v>
      </c>
      <c r="P117" s="63">
        <v>2.8405125343808873E-5</v>
      </c>
      <c r="Q117" s="63">
        <v>3.8059379505283403E-5</v>
      </c>
      <c r="R117" s="63">
        <v>3.3963485079176425E-5</v>
      </c>
      <c r="S117" s="63">
        <v>7.1441308141203738E-5</v>
      </c>
      <c r="T117" s="63">
        <v>1.8166781733074302E-5</v>
      </c>
      <c r="U117" s="63">
        <v>6.1238828286353254E-5</v>
      </c>
      <c r="V117" s="64">
        <v>5.3290873173098489E-5</v>
      </c>
      <c r="W117" s="64">
        <v>4.7877051109489114E-5</v>
      </c>
      <c r="X117" s="64">
        <v>5.2618335618154697E-5</v>
      </c>
      <c r="Y117" s="64">
        <v>3.1156392746281451E-5</v>
      </c>
      <c r="Z117" s="64">
        <v>6.3494191870047125E-5</v>
      </c>
      <c r="AA117" s="64">
        <v>5.9173112427885087E-5</v>
      </c>
      <c r="AB117" s="64">
        <v>6.4509253239885552E-5</v>
      </c>
      <c r="AC117" s="64">
        <v>6.9370383959398857E-5</v>
      </c>
      <c r="AD117" s="64">
        <v>1.1882588914133485E-3</v>
      </c>
      <c r="AE117" s="64">
        <v>3.8302387246106228E-5</v>
      </c>
      <c r="AF117" s="64">
        <v>4.1154088377098031E-5</v>
      </c>
      <c r="AG117" s="64">
        <v>2.886342876779549E-5</v>
      </c>
      <c r="AH117" s="64">
        <v>7.3192539054469356E-5</v>
      </c>
      <c r="AI117" s="64">
        <v>3.2557386504709518E-5</v>
      </c>
      <c r="AJ117" s="64">
        <v>3.9768127871811551E-5</v>
      </c>
      <c r="AK117" s="65"/>
    </row>
    <row r="118" spans="1:37" ht="13.5" hidden="1" customHeight="1">
      <c r="A118" s="44" t="s">
        <v>81</v>
      </c>
      <c r="B118" s="15" t="s">
        <v>19</v>
      </c>
      <c r="C118" s="63">
        <v>1.2868871318533079E-4</v>
      </c>
      <c r="D118" s="63">
        <v>1.1228944126927501E-4</v>
      </c>
      <c r="E118" s="63">
        <v>6.4493948080103473E-5</v>
      </c>
      <c r="F118" s="63">
        <v>4.1301406307232735E-5</v>
      </c>
      <c r="G118" s="63">
        <v>7.7106401435245576E-5</v>
      </c>
      <c r="H118" s="63">
        <v>2.8580972016722914E-5</v>
      </c>
      <c r="I118" s="63">
        <v>8.9253428078117354E-5</v>
      </c>
      <c r="J118" s="63">
        <v>9.0332699322304778E-5</v>
      </c>
      <c r="K118" s="63">
        <v>5.3168398908398951E-5</v>
      </c>
      <c r="L118" s="63">
        <v>2.6594509884712963E-5</v>
      </c>
      <c r="M118" s="63">
        <v>5.9462620624824855E-5</v>
      </c>
      <c r="N118" s="63">
        <v>2.7815544778978839E-5</v>
      </c>
      <c r="O118" s="63">
        <v>3.5655466317385114E-5</v>
      </c>
      <c r="P118" s="63">
        <v>4.8988223548664618E-5</v>
      </c>
      <c r="Q118" s="63">
        <v>3.4254363496892784E-5</v>
      </c>
      <c r="R118" s="63">
        <v>5.9105315357004545E-5</v>
      </c>
      <c r="S118" s="63">
        <v>1.557090357436042E-4</v>
      </c>
      <c r="T118" s="63">
        <v>3.8840687549076382E-5</v>
      </c>
      <c r="U118" s="63">
        <v>5.4732392779032705E-5</v>
      </c>
      <c r="V118" s="64">
        <v>2.9681630004273582E-5</v>
      </c>
      <c r="W118" s="64">
        <v>5.6329925253796298E-5</v>
      </c>
      <c r="X118" s="64">
        <v>6.0370467841491187E-5</v>
      </c>
      <c r="Y118" s="64">
        <v>6.9626093405806622E-5</v>
      </c>
      <c r="Z118" s="64">
        <v>7.3359585152828942E-5</v>
      </c>
      <c r="AA118" s="64">
        <v>2.0036635330916158E-5</v>
      </c>
      <c r="AB118" s="64">
        <v>6.3257500975299189E-5</v>
      </c>
      <c r="AC118" s="64">
        <v>4.1849194462524783E-5</v>
      </c>
      <c r="AD118" s="64">
        <v>5.2858711273310907E-5</v>
      </c>
      <c r="AE118" s="64">
        <v>2.9717570002242261E-2</v>
      </c>
      <c r="AF118" s="64">
        <v>2.3608284695874861E-5</v>
      </c>
      <c r="AG118" s="64">
        <v>6.7780308800730746E-5</v>
      </c>
      <c r="AH118" s="64">
        <v>6.4925817699463674E-5</v>
      </c>
      <c r="AI118" s="64">
        <v>4.3998118125545635E-5</v>
      </c>
      <c r="AJ118" s="64">
        <v>2.6188647831241193E-2</v>
      </c>
      <c r="AK118" s="65"/>
    </row>
    <row r="119" spans="1:37" ht="13.5" hidden="1" customHeight="1">
      <c r="A119" s="44" t="s">
        <v>82</v>
      </c>
      <c r="B119" s="15" t="s">
        <v>83</v>
      </c>
      <c r="C119" s="63">
        <v>8.9099312159512979E-6</v>
      </c>
      <c r="D119" s="63">
        <v>1.2766999702066462E-5</v>
      </c>
      <c r="E119" s="63">
        <v>1.4626275016138564E-5</v>
      </c>
      <c r="F119" s="63">
        <v>1.3982214601003569E-5</v>
      </c>
      <c r="G119" s="63">
        <v>1.7792937111651324E-5</v>
      </c>
      <c r="H119" s="63">
        <v>5.2703138639104022E-6</v>
      </c>
      <c r="I119" s="63">
        <v>1.3925177114323007E-5</v>
      </c>
      <c r="J119" s="63">
        <v>1.5182009662959129E-5</v>
      </c>
      <c r="K119" s="63">
        <v>1.6672919121428695E-5</v>
      </c>
      <c r="L119" s="63">
        <v>1.3831000641201466E-5</v>
      </c>
      <c r="M119" s="63">
        <v>2.3731194037570689E-5</v>
      </c>
      <c r="N119" s="63">
        <v>1.2045887173585937E-5</v>
      </c>
      <c r="O119" s="63">
        <v>1.716847620065678E-5</v>
      </c>
      <c r="P119" s="63">
        <v>2.2132344027032882E-5</v>
      </c>
      <c r="Q119" s="63">
        <v>1.5640203131114908E-5</v>
      </c>
      <c r="R119" s="63">
        <v>1.6606024679972899E-5</v>
      </c>
      <c r="S119" s="63">
        <v>4.9975476989654035E-5</v>
      </c>
      <c r="T119" s="63">
        <v>6.5564895191873743E-6</v>
      </c>
      <c r="U119" s="63">
        <v>1.8250386723189621E-5</v>
      </c>
      <c r="V119" s="64">
        <v>1.3871713919555217E-5</v>
      </c>
      <c r="W119" s="64">
        <v>3.8852396863020013E-5</v>
      </c>
      <c r="X119" s="64">
        <v>9.988223131846787E-6</v>
      </c>
      <c r="Y119" s="64">
        <v>1.6946449653536573E-5</v>
      </c>
      <c r="Z119" s="64">
        <v>1.7392523711930111E-5</v>
      </c>
      <c r="AA119" s="64">
        <v>2.8673155209670503E-5</v>
      </c>
      <c r="AB119" s="64">
        <v>1.5148190506001988E-5</v>
      </c>
      <c r="AC119" s="64">
        <v>2.4557613552877299E-5</v>
      </c>
      <c r="AD119" s="64">
        <v>1.489747204742483E-5</v>
      </c>
      <c r="AE119" s="64">
        <v>4.3868748977202111E-6</v>
      </c>
      <c r="AF119" s="64">
        <v>1.4199076891136994E-2</v>
      </c>
      <c r="AG119" s="64">
        <v>8.5745181263655114E-6</v>
      </c>
      <c r="AH119" s="64">
        <v>1.1915314366701384E-5</v>
      </c>
      <c r="AI119" s="64">
        <v>2.5762557575173883E-5</v>
      </c>
      <c r="AJ119" s="64">
        <v>7.5963110439152919E-6</v>
      </c>
      <c r="AK119" s="65"/>
    </row>
    <row r="120" spans="1:37" ht="13.5" hidden="1" customHeight="1">
      <c r="A120" s="44" t="s">
        <v>84</v>
      </c>
      <c r="B120" s="15" t="s">
        <v>85</v>
      </c>
      <c r="C120" s="63">
        <v>1.8929867837643742E-5</v>
      </c>
      <c r="D120" s="63">
        <v>3.3012520840673672E-5</v>
      </c>
      <c r="E120" s="63">
        <v>1.9270494940898348E-5</v>
      </c>
      <c r="F120" s="63">
        <v>1.7368848862934609E-5</v>
      </c>
      <c r="G120" s="63">
        <v>2.3209303580554467E-5</v>
      </c>
      <c r="H120" s="63">
        <v>4.2023768937153639E-6</v>
      </c>
      <c r="I120" s="63">
        <v>1.3405187657734215E-5</v>
      </c>
      <c r="J120" s="63">
        <v>1.4657313830575812E-5</v>
      </c>
      <c r="K120" s="63">
        <v>1.989368377870312E-5</v>
      </c>
      <c r="L120" s="63">
        <v>1.2847812858960705E-5</v>
      </c>
      <c r="M120" s="63">
        <v>2.2249900392745422E-5</v>
      </c>
      <c r="N120" s="63">
        <v>1.1124560265112729E-5</v>
      </c>
      <c r="O120" s="63">
        <v>1.5566051005520062E-5</v>
      </c>
      <c r="P120" s="63">
        <v>2.2437913484840249E-5</v>
      </c>
      <c r="Q120" s="63">
        <v>2.0145265985311631E-5</v>
      </c>
      <c r="R120" s="63">
        <v>2.2328048462400292E-5</v>
      </c>
      <c r="S120" s="63">
        <v>2.9267057561683616E-5</v>
      </c>
      <c r="T120" s="63">
        <v>6.1237679963045753E-6</v>
      </c>
      <c r="U120" s="63">
        <v>3.9365593914746037E-5</v>
      </c>
      <c r="V120" s="64">
        <v>2.085833457848357E-5</v>
      </c>
      <c r="W120" s="64">
        <v>3.5753928341689947E-5</v>
      </c>
      <c r="X120" s="64">
        <v>1.1850776348684202E-5</v>
      </c>
      <c r="Y120" s="64">
        <v>3.1029947887555262E-5</v>
      </c>
      <c r="Z120" s="64">
        <v>2.0256901633426432E-5</v>
      </c>
      <c r="AA120" s="64">
        <v>2.2936356904370131E-5</v>
      </c>
      <c r="AB120" s="64">
        <v>1.3124882590594018E-5</v>
      </c>
      <c r="AC120" s="64">
        <v>2.7180114755225786E-5</v>
      </c>
      <c r="AD120" s="64">
        <v>2.354333447960426E-5</v>
      </c>
      <c r="AE120" s="64">
        <v>7.8852554706567107E-6</v>
      </c>
      <c r="AF120" s="64">
        <v>2.2399905582726307E-5</v>
      </c>
      <c r="AG120" s="64">
        <v>8.2560959320591883E-3</v>
      </c>
      <c r="AH120" s="64">
        <v>3.5481413947885146E-5</v>
      </c>
      <c r="AI120" s="64">
        <v>2.7855850688680462E-5</v>
      </c>
      <c r="AJ120" s="64">
        <v>1.0383597035400233E-5</v>
      </c>
      <c r="AK120" s="65"/>
    </row>
    <row r="121" spans="1:37" ht="13.5" hidden="1" customHeight="1">
      <c r="A121" s="44" t="s">
        <v>86</v>
      </c>
      <c r="B121" s="15" t="s">
        <v>87</v>
      </c>
      <c r="C121" s="63">
        <v>1.3772002881127416E-5</v>
      </c>
      <c r="D121" s="63">
        <v>5.4046538031886483E-5</v>
      </c>
      <c r="E121" s="63">
        <v>1.6524965642585028E-5</v>
      </c>
      <c r="F121" s="63">
        <v>1.8712101350146117E-5</v>
      </c>
      <c r="G121" s="63">
        <v>2.3410923755685363E-5</v>
      </c>
      <c r="H121" s="63">
        <v>5.3166474749777311E-6</v>
      </c>
      <c r="I121" s="63">
        <v>1.450453590395199E-5</v>
      </c>
      <c r="J121" s="63">
        <v>1.535392323474858E-5</v>
      </c>
      <c r="K121" s="63">
        <v>2.4246545415719951E-5</v>
      </c>
      <c r="L121" s="63">
        <v>1.7404210244409079E-5</v>
      </c>
      <c r="M121" s="63">
        <v>2.4004279289778356E-5</v>
      </c>
      <c r="N121" s="63">
        <v>9.5354344345277917E-6</v>
      </c>
      <c r="O121" s="63">
        <v>1.4638274598480559E-5</v>
      </c>
      <c r="P121" s="63">
        <v>2.0461259779130979E-5</v>
      </c>
      <c r="Q121" s="63">
        <v>1.4162802269541252E-5</v>
      </c>
      <c r="R121" s="63">
        <v>2.0717095375777427E-5</v>
      </c>
      <c r="S121" s="63">
        <v>2.8585677343136452E-5</v>
      </c>
      <c r="T121" s="63">
        <v>6.2679600649202885E-6</v>
      </c>
      <c r="U121" s="63">
        <v>3.0820575703267501E-5</v>
      </c>
      <c r="V121" s="64">
        <v>1.7744110771222325E-5</v>
      </c>
      <c r="W121" s="64">
        <v>1.6323496347071662E-5</v>
      </c>
      <c r="X121" s="64">
        <v>2.524565732955354E-5</v>
      </c>
      <c r="Y121" s="64">
        <v>1.5080069687778002E-5</v>
      </c>
      <c r="Z121" s="64">
        <v>6.0348761029045743E-5</v>
      </c>
      <c r="AA121" s="64">
        <v>2.6229692928878761E-5</v>
      </c>
      <c r="AB121" s="64">
        <v>1.2814207767557456E-5</v>
      </c>
      <c r="AC121" s="64">
        <v>4.4170130697928031E-5</v>
      </c>
      <c r="AD121" s="64">
        <v>3.1467590838042861E-5</v>
      </c>
      <c r="AE121" s="64">
        <v>9.6398520580616769E-6</v>
      </c>
      <c r="AF121" s="64">
        <v>5.0392321709507817E-5</v>
      </c>
      <c r="AG121" s="64">
        <v>1.572734518245292E-5</v>
      </c>
      <c r="AH121" s="64">
        <v>5.9996326776038632E-3</v>
      </c>
      <c r="AI121" s="64">
        <v>3.6645045454305032E-5</v>
      </c>
      <c r="AJ121" s="64">
        <v>1.3041308777820049E-5</v>
      </c>
      <c r="AK121" s="65"/>
    </row>
    <row r="122" spans="1:37" ht="13.5" hidden="1" customHeight="1">
      <c r="A122" s="44" t="s">
        <v>88</v>
      </c>
      <c r="B122" s="15" t="s">
        <v>89</v>
      </c>
      <c r="C122" s="63">
        <v>2.3343006080879822E-5</v>
      </c>
      <c r="D122" s="63">
        <v>5.9232521914056391E-5</v>
      </c>
      <c r="E122" s="63">
        <v>3.2336847837182957E-5</v>
      </c>
      <c r="F122" s="63">
        <v>2.9222190631186325E-5</v>
      </c>
      <c r="G122" s="63">
        <v>3.4024537415066988E-5</v>
      </c>
      <c r="H122" s="63">
        <v>9.3418305264763282E-6</v>
      </c>
      <c r="I122" s="63">
        <v>2.2135474115054925E-5</v>
      </c>
      <c r="J122" s="63">
        <v>2.3085859287585429E-5</v>
      </c>
      <c r="K122" s="63">
        <v>4.6337167805091078E-5</v>
      </c>
      <c r="L122" s="63">
        <v>2.6602548959138144E-5</v>
      </c>
      <c r="M122" s="63">
        <v>3.605333608103752E-5</v>
      </c>
      <c r="N122" s="63">
        <v>1.9269186617725038E-5</v>
      </c>
      <c r="O122" s="63">
        <v>2.6564320026885982E-5</v>
      </c>
      <c r="P122" s="63">
        <v>3.4039396911527182E-5</v>
      </c>
      <c r="Q122" s="63">
        <v>2.7596747412827726E-5</v>
      </c>
      <c r="R122" s="63">
        <v>3.2637100198117374E-5</v>
      </c>
      <c r="S122" s="63">
        <v>5.4718590939951432E-5</v>
      </c>
      <c r="T122" s="63">
        <v>9.2366352624320182E-6</v>
      </c>
      <c r="U122" s="63">
        <v>6.9722085399164446E-5</v>
      </c>
      <c r="V122" s="64">
        <v>3.0935451667000643E-5</v>
      </c>
      <c r="W122" s="64">
        <v>6.1472925689290653E-5</v>
      </c>
      <c r="X122" s="64">
        <v>9.3677747796768685E-5</v>
      </c>
      <c r="Y122" s="64">
        <v>3.6965021255644972E-5</v>
      </c>
      <c r="Z122" s="64">
        <v>3.2227881209498737E-5</v>
      </c>
      <c r="AA122" s="64">
        <v>3.3148078424196101E-5</v>
      </c>
      <c r="AB122" s="64">
        <v>1.872000810079117E-5</v>
      </c>
      <c r="AC122" s="64">
        <v>5.3578151801779183E-5</v>
      </c>
      <c r="AD122" s="64">
        <v>6.7036880259279666E-5</v>
      </c>
      <c r="AE122" s="64">
        <v>1.7555718440507061E-5</v>
      </c>
      <c r="AF122" s="64">
        <v>5.5493623231978414E-5</v>
      </c>
      <c r="AG122" s="64">
        <v>2.3025169341310038E-5</v>
      </c>
      <c r="AH122" s="64">
        <v>5.7810547702130384E-5</v>
      </c>
      <c r="AI122" s="64">
        <v>5.2273539797845353E-3</v>
      </c>
      <c r="AJ122" s="64">
        <v>2.2554279761638824E-5</v>
      </c>
      <c r="AK122" s="65"/>
    </row>
    <row r="123" spans="1:37" ht="13.5" hidden="1" customHeight="1">
      <c r="A123" s="46" t="s">
        <v>91</v>
      </c>
      <c r="B123" s="16" t="s">
        <v>20</v>
      </c>
      <c r="C123" s="63">
        <v>0</v>
      </c>
      <c r="D123" s="63">
        <v>0</v>
      </c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5"/>
    </row>
    <row r="124" spans="1:37" ht="13.5" hidden="1" customHeight="1"/>
  </sheetData>
  <mergeCells count="3">
    <mergeCell ref="A5:B6"/>
    <mergeCell ref="A47:B48"/>
    <mergeCell ref="A88:B89"/>
  </mergeCells>
  <phoneticPr fontId="19" type="noConversion"/>
  <conditionalFormatting sqref="C1:AJ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1F27-612C-4AC6-B62B-3B8BBA3F6C85}">
  <sheetPr>
    <tabColor theme="5"/>
  </sheetPr>
  <dimension ref="A1:AK41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I13" sqref="I13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3" width="20.125" style="1" bestFit="1" customWidth="1"/>
    <col min="4" max="16384" width="18.625" style="1"/>
  </cols>
  <sheetData>
    <row r="1" spans="1:37" ht="13.5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7" ht="13.5" customHeight="1"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7" ht="13.5" customHeight="1">
      <c r="B3" s="2"/>
    </row>
    <row r="4" spans="1:37" s="10" customFormat="1" ht="13.5" customHeight="1">
      <c r="A4" s="21"/>
      <c r="B4" s="15"/>
      <c r="AK4" s="1"/>
    </row>
    <row r="5" spans="1:37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34" t="s">
        <v>50</v>
      </c>
      <c r="J5" s="34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</row>
    <row r="6" spans="1:37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51" t="s">
        <v>8</v>
      </c>
      <c r="J6" s="51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</row>
    <row r="7" spans="1:37" ht="13.5" customHeight="1">
      <c r="A7" s="44" t="s">
        <v>44</v>
      </c>
      <c r="B7" s="15" t="s">
        <v>2</v>
      </c>
      <c r="C7" s="63" cm="1">
        <f t="array" ref="C7:AJ40">MMULT(_xlfn.ANCHORARRAY(Ad!C127),_xlfn.ANCHORARRAY(Lf!C7))</f>
        <v>0.38983292068626846</v>
      </c>
      <c r="D7" s="63">
        <v>2.5264458348117479E-3</v>
      </c>
      <c r="E7" s="63">
        <v>8.5604645645328409E-2</v>
      </c>
      <c r="F7" s="63">
        <v>1.9081664452094886E-3</v>
      </c>
      <c r="G7" s="63">
        <v>4.2246641892959977E-3</v>
      </c>
      <c r="H7" s="63">
        <v>3.3893823318855879E-4</v>
      </c>
      <c r="I7" s="63">
        <v>2.1102550870728334E-3</v>
      </c>
      <c r="J7" s="63">
        <v>1.8109229994709227E-3</v>
      </c>
      <c r="K7" s="63">
        <v>1.6371728640918281E-3</v>
      </c>
      <c r="L7" s="63">
        <v>1.0041492372914664E-3</v>
      </c>
      <c r="M7" s="63">
        <v>1.5895437812187443E-3</v>
      </c>
      <c r="N7" s="63">
        <v>9.9187224520829636E-4</v>
      </c>
      <c r="O7" s="63">
        <v>1.1224545269264623E-3</v>
      </c>
      <c r="P7" s="63">
        <v>1.5994380511912124E-3</v>
      </c>
      <c r="Q7" s="63">
        <v>1.295276012028257E-3</v>
      </c>
      <c r="R7" s="63">
        <v>2.1074463450082657E-3</v>
      </c>
      <c r="S7" s="63">
        <v>5.2155328937484686E-3</v>
      </c>
      <c r="T7" s="63">
        <v>1.2350643133954814E-3</v>
      </c>
      <c r="U7" s="63">
        <v>1.9892918818808676E-3</v>
      </c>
      <c r="V7" s="64">
        <v>1.591683853485122E-3</v>
      </c>
      <c r="W7" s="64">
        <v>3.0264226650639835E-3</v>
      </c>
      <c r="X7" s="64">
        <v>1.0986078078950891E-3</v>
      </c>
      <c r="Y7" s="64">
        <v>4.3233026703355687E-2</v>
      </c>
      <c r="Z7" s="64">
        <v>1.590850050642187E-3</v>
      </c>
      <c r="AA7" s="64">
        <v>1.4574166770041899E-3</v>
      </c>
      <c r="AB7" s="64">
        <v>9.3544348149556499E-4</v>
      </c>
      <c r="AC7" s="64">
        <v>2.8081035503468698E-3</v>
      </c>
      <c r="AD7" s="64">
        <v>2.6066680304759121E-3</v>
      </c>
      <c r="AE7" s="64">
        <v>2.6360322157731935E-3</v>
      </c>
      <c r="AF7" s="64">
        <v>5.234051477333912E-3</v>
      </c>
      <c r="AG7" s="64">
        <v>4.2251699171884007E-3</v>
      </c>
      <c r="AH7" s="64">
        <v>6.2009277741300389E-3</v>
      </c>
      <c r="AI7" s="64">
        <v>4.9202535231579027E-3</v>
      </c>
      <c r="AJ7" s="64">
        <v>3.7720889193167463E-3</v>
      </c>
      <c r="AK7" s="65">
        <f>SUM(C7:AJ7)</f>
        <v>0.59348094791930073</v>
      </c>
    </row>
    <row r="8" spans="1:37" ht="13.5" customHeight="1">
      <c r="A8" s="44" t="s">
        <v>45</v>
      </c>
      <c r="B8" s="15" t="s">
        <v>3</v>
      </c>
      <c r="C8" s="63">
        <v>2.0393028196576284E-4</v>
      </c>
      <c r="D8" s="63">
        <v>0.3839881990890015</v>
      </c>
      <c r="E8" s="63">
        <v>4.1978659748458092E-4</v>
      </c>
      <c r="F8" s="63">
        <v>1.6558483836467044E-4</v>
      </c>
      <c r="G8" s="63">
        <v>3.0849995424247627E-4</v>
      </c>
      <c r="H8" s="63">
        <v>3.308961754066495E-4</v>
      </c>
      <c r="I8" s="63">
        <v>6.9837617550049099E-4</v>
      </c>
      <c r="J8" s="63">
        <v>3.435614446277703E-4</v>
      </c>
      <c r="K8" s="63">
        <v>3.4018689418537293E-2</v>
      </c>
      <c r="L8" s="63">
        <v>1.2775326146549383E-3</v>
      </c>
      <c r="M8" s="63">
        <v>6.1961501648781676E-4</v>
      </c>
      <c r="N8" s="63">
        <v>3.1311624529299729E-4</v>
      </c>
      <c r="O8" s="63">
        <v>4.7407318757432373E-4</v>
      </c>
      <c r="P8" s="63">
        <v>3.7934947664850681E-4</v>
      </c>
      <c r="Q8" s="63">
        <v>5.3003264197029794E-4</v>
      </c>
      <c r="R8" s="63">
        <v>5.1203741096603314E-4</v>
      </c>
      <c r="S8" s="63">
        <v>2.802470640153075E-4</v>
      </c>
      <c r="T8" s="63">
        <v>4.1046125618291655E-4</v>
      </c>
      <c r="U8" s="63">
        <v>8.3800842136494847E-4</v>
      </c>
      <c r="V8" s="64">
        <v>3.2641453950015744E-3</v>
      </c>
      <c r="W8" s="64">
        <v>1.0662899613193786E-4</v>
      </c>
      <c r="X8" s="64">
        <v>1.106658459429446E-4</v>
      </c>
      <c r="Y8" s="64">
        <v>3.3514633612553374E-4</v>
      </c>
      <c r="Z8" s="64">
        <v>7.7074507872554383E-5</v>
      </c>
      <c r="AA8" s="64">
        <v>4.396672193367173E-5</v>
      </c>
      <c r="AB8" s="64">
        <v>2.8298874898671631E-4</v>
      </c>
      <c r="AC8" s="64">
        <v>1.5575105453554688E-4</v>
      </c>
      <c r="AD8" s="64">
        <v>1.9661691097593365E-4</v>
      </c>
      <c r="AE8" s="64">
        <v>1.6374105158685075E-4</v>
      </c>
      <c r="AF8" s="64">
        <v>1.2642096911487664E-4</v>
      </c>
      <c r="AG8" s="64">
        <v>1.7521603880774812E-4</v>
      </c>
      <c r="AH8" s="64">
        <v>2.0096090904481211E-4</v>
      </c>
      <c r="AI8" s="64">
        <v>2.1358519635573782E-4</v>
      </c>
      <c r="AJ8" s="64">
        <v>2.1624124437730612E-4</v>
      </c>
      <c r="AK8" s="65">
        <f t="shared" ref="AK8:AK40" si="0">SUM(C8:AJ8)</f>
        <v>0.43178114723708311</v>
      </c>
    </row>
    <row r="9" spans="1:37" ht="13.5" customHeight="1">
      <c r="A9" s="44" t="s">
        <v>46</v>
      </c>
      <c r="B9" s="15" t="s">
        <v>4</v>
      </c>
      <c r="C9" s="63">
        <v>2.6418349718805387E-3</v>
      </c>
      <c r="D9" s="63">
        <v>2.1013519900428516E-4</v>
      </c>
      <c r="E9" s="63">
        <v>1.3626423915992307E-2</v>
      </c>
      <c r="F9" s="63">
        <v>1.3933698321102992E-4</v>
      </c>
      <c r="G9" s="63">
        <v>1.6970013890846625E-4</v>
      </c>
      <c r="H9" s="63">
        <v>2.8256245745328009E-5</v>
      </c>
      <c r="I9" s="63">
        <v>1.4921304116923857E-4</v>
      </c>
      <c r="J9" s="63">
        <v>1.5694192761445006E-4</v>
      </c>
      <c r="K9" s="63">
        <v>1.3710564779249957E-4</v>
      </c>
      <c r="L9" s="63">
        <v>8.7906006620457012E-5</v>
      </c>
      <c r="M9" s="63">
        <v>1.2884391447293218E-4</v>
      </c>
      <c r="N9" s="63">
        <v>7.6983358425093484E-5</v>
      </c>
      <c r="O9" s="63">
        <v>8.9631410949407312E-5</v>
      </c>
      <c r="P9" s="63">
        <v>1.2520601295953592E-4</v>
      </c>
      <c r="Q9" s="63">
        <v>1.028900468779586E-4</v>
      </c>
      <c r="R9" s="63">
        <v>1.4566994369261617E-4</v>
      </c>
      <c r="S9" s="63">
        <v>2.9139588003960571E-4</v>
      </c>
      <c r="T9" s="63">
        <v>1.5893061285014427E-4</v>
      </c>
      <c r="U9" s="63">
        <v>1.6843827013809679E-4</v>
      </c>
      <c r="V9" s="64">
        <v>1.0041996060964959E-4</v>
      </c>
      <c r="W9" s="64">
        <v>2.7502883248815965E-4</v>
      </c>
      <c r="X9" s="64">
        <v>9.8368431668486171E-5</v>
      </c>
      <c r="Y9" s="64">
        <v>3.4562030882843166E-3</v>
      </c>
      <c r="Z9" s="64">
        <v>1.4221268077283436E-4</v>
      </c>
      <c r="AA9" s="64">
        <v>1.2374551208589176E-4</v>
      </c>
      <c r="AB9" s="64">
        <v>7.6090774730063398E-5</v>
      </c>
      <c r="AC9" s="64">
        <v>2.5397438293530241E-4</v>
      </c>
      <c r="AD9" s="64">
        <v>2.4216399053806983E-4</v>
      </c>
      <c r="AE9" s="64">
        <v>2.0736730445722101E-4</v>
      </c>
      <c r="AF9" s="64">
        <v>4.3171039771608248E-4</v>
      </c>
      <c r="AG9" s="64">
        <v>3.16945993601127E-4</v>
      </c>
      <c r="AH9" s="64">
        <v>7.5201179430984275E-4</v>
      </c>
      <c r="AI9" s="64">
        <v>4.6182257168522674E-4</v>
      </c>
      <c r="AJ9" s="64">
        <v>3.5484837462431134E-4</v>
      </c>
      <c r="AK9" s="65">
        <f t="shared" si="0"/>
        <v>2.5927757618850567E-2</v>
      </c>
    </row>
    <row r="10" spans="1:37" ht="13.5" customHeight="1">
      <c r="A10" s="44" t="s">
        <v>47</v>
      </c>
      <c r="B10" s="15" t="s">
        <v>5</v>
      </c>
      <c r="C10" s="63">
        <v>7.6844203838740408E-4</v>
      </c>
      <c r="D10" s="63">
        <v>6.3751606506234426E-4</v>
      </c>
      <c r="E10" s="63">
        <v>4.7712441147768092E-4</v>
      </c>
      <c r="F10" s="63">
        <v>7.488235881828037E-2</v>
      </c>
      <c r="G10" s="63">
        <v>1.1056974508349381E-3</v>
      </c>
      <c r="H10" s="63">
        <v>1.0635702121082795E-4</v>
      </c>
      <c r="I10" s="63">
        <v>4.7199411371765166E-4</v>
      </c>
      <c r="J10" s="63">
        <v>3.9327280582498439E-4</v>
      </c>
      <c r="K10" s="63">
        <v>6.1203837824485294E-4</v>
      </c>
      <c r="L10" s="63">
        <v>2.8291483585655725E-4</v>
      </c>
      <c r="M10" s="63">
        <v>5.6361612682915348E-4</v>
      </c>
      <c r="N10" s="63">
        <v>3.0807756289956558E-4</v>
      </c>
      <c r="O10" s="63">
        <v>3.1364354512093776E-4</v>
      </c>
      <c r="P10" s="63">
        <v>4.4149667676436681E-4</v>
      </c>
      <c r="Q10" s="63">
        <v>5.8974061667738174E-4</v>
      </c>
      <c r="R10" s="63">
        <v>4.162566745142298E-3</v>
      </c>
      <c r="S10" s="63">
        <v>2.4068936612486138E-3</v>
      </c>
      <c r="T10" s="63">
        <v>1.0842563661331653E-4</v>
      </c>
      <c r="U10" s="63">
        <v>7.192303333397157E-4</v>
      </c>
      <c r="V10" s="64">
        <v>3.0096790366424512E-4</v>
      </c>
      <c r="W10" s="64">
        <v>4.6161405756324367E-4</v>
      </c>
      <c r="X10" s="64">
        <v>7.9205552565967405E-4</v>
      </c>
      <c r="Y10" s="64">
        <v>8.5519924656977573E-4</v>
      </c>
      <c r="Z10" s="64">
        <v>2.5782761315355931E-4</v>
      </c>
      <c r="AA10" s="64">
        <v>1.497145588250182E-4</v>
      </c>
      <c r="AB10" s="64">
        <v>1.6999756470961505E-4</v>
      </c>
      <c r="AC10" s="64">
        <v>3.2699416422997933E-4</v>
      </c>
      <c r="AD10" s="64">
        <v>8.1095199160155116E-4</v>
      </c>
      <c r="AE10" s="64">
        <v>3.6469529274696003E-4</v>
      </c>
      <c r="AF10" s="64">
        <v>3.0216240161193335E-4</v>
      </c>
      <c r="AG10" s="64">
        <v>4.753163337224281E-4</v>
      </c>
      <c r="AH10" s="64">
        <v>8.9526015450731942E-4</v>
      </c>
      <c r="AI10" s="64">
        <v>1.0597140767571334E-3</v>
      </c>
      <c r="AJ10" s="64">
        <v>6.6047523221076114E-4</v>
      </c>
      <c r="AK10" s="65">
        <f t="shared" si="0"/>
        <v>9.7234352961066153E-2</v>
      </c>
    </row>
    <row r="11" spans="1:37" ht="13.5" customHeight="1">
      <c r="A11" s="44" t="s">
        <v>48</v>
      </c>
      <c r="B11" s="15" t="s">
        <v>6</v>
      </c>
      <c r="C11" s="63">
        <v>1.3739144123492463E-3</v>
      </c>
      <c r="D11" s="63">
        <v>5.4113604722715795E-4</v>
      </c>
      <c r="E11" s="63">
        <v>2.0295272499262452E-3</v>
      </c>
      <c r="F11" s="63">
        <v>5.6973011170783077E-4</v>
      </c>
      <c r="G11" s="63">
        <v>6.5394675295354684E-2</v>
      </c>
      <c r="H11" s="63">
        <v>1.511001967472479E-4</v>
      </c>
      <c r="I11" s="63">
        <v>6.6024012767621409E-4</v>
      </c>
      <c r="J11" s="63">
        <v>6.6717960937087326E-4</v>
      </c>
      <c r="K11" s="63">
        <v>9.4833236559231811E-4</v>
      </c>
      <c r="L11" s="63">
        <v>3.2791143140131459E-4</v>
      </c>
      <c r="M11" s="63">
        <v>8.6599278082469949E-4</v>
      </c>
      <c r="N11" s="63">
        <v>2.557260915370721E-4</v>
      </c>
      <c r="O11" s="63">
        <v>5.1380780463031336E-4</v>
      </c>
      <c r="P11" s="63">
        <v>5.1706039186913053E-4</v>
      </c>
      <c r="Q11" s="63">
        <v>4.0252557334679527E-4</v>
      </c>
      <c r="R11" s="63">
        <v>3.6840583452009018E-3</v>
      </c>
      <c r="S11" s="63">
        <v>6.2941571767250501E-4</v>
      </c>
      <c r="T11" s="63">
        <v>3.5621681916371713E-4</v>
      </c>
      <c r="U11" s="63">
        <v>3.7611158132918449E-4</v>
      </c>
      <c r="V11" s="64">
        <v>1.3858444971900255E-3</v>
      </c>
      <c r="W11" s="64">
        <v>1.0320800861460696E-3</v>
      </c>
      <c r="X11" s="64">
        <v>6.3760839812700859E-4</v>
      </c>
      <c r="Y11" s="64">
        <v>1.4059001256163696E-3</v>
      </c>
      <c r="Z11" s="64">
        <v>8.9812540314109369E-4</v>
      </c>
      <c r="AA11" s="64">
        <v>7.0755712471520576E-4</v>
      </c>
      <c r="AB11" s="64">
        <v>3.094538040722715E-4</v>
      </c>
      <c r="AC11" s="64">
        <v>1.2754915101800936E-3</v>
      </c>
      <c r="AD11" s="64">
        <v>5.8320086539011642E-4</v>
      </c>
      <c r="AE11" s="64">
        <v>4.6126436968917019E-4</v>
      </c>
      <c r="AF11" s="64">
        <v>7.0417547576121214E-4</v>
      </c>
      <c r="AG11" s="64">
        <v>6.6641435191020513E-4</v>
      </c>
      <c r="AH11" s="64">
        <v>6.8900582661453433E-4</v>
      </c>
      <c r="AI11" s="64">
        <v>1.0759951504138679E-3</v>
      </c>
      <c r="AJ11" s="64">
        <v>6.3617933663612073E-4</v>
      </c>
      <c r="AK11" s="65">
        <f t="shared" si="0"/>
        <v>9.2732958278530786E-2</v>
      </c>
    </row>
    <row r="12" spans="1:37" ht="13.5" customHeight="1">
      <c r="A12" s="44" t="s">
        <v>49</v>
      </c>
      <c r="B12" s="15" t="s">
        <v>7</v>
      </c>
      <c r="C12" s="63">
        <v>7.7383195379233096E-3</v>
      </c>
      <c r="D12" s="63">
        <v>9.9154623236671659E-3</v>
      </c>
      <c r="E12" s="63">
        <v>4.7796228059686224E-3</v>
      </c>
      <c r="F12" s="63">
        <v>4.0858610308542207E-3</v>
      </c>
      <c r="G12" s="63">
        <v>5.1008474735381787E-3</v>
      </c>
      <c r="H12" s="63">
        <v>0.21218785555167344</v>
      </c>
      <c r="I12" s="63">
        <v>1.5194082766511817E-2</v>
      </c>
      <c r="J12" s="63">
        <v>8.9860546981357179E-3</v>
      </c>
      <c r="K12" s="63">
        <v>1.5884795464067198E-2</v>
      </c>
      <c r="L12" s="63">
        <v>3.1185906044551574E-3</v>
      </c>
      <c r="M12" s="63">
        <v>4.1782092901858385E-3</v>
      </c>
      <c r="N12" s="63">
        <v>2.1094944431674849E-3</v>
      </c>
      <c r="O12" s="63">
        <v>3.5927573723697334E-3</v>
      </c>
      <c r="P12" s="63">
        <v>3.3711449620666876E-3</v>
      </c>
      <c r="Q12" s="63">
        <v>3.8242653931672014E-3</v>
      </c>
      <c r="R12" s="63">
        <v>4.6841207489427732E-3</v>
      </c>
      <c r="S12" s="63">
        <v>4.0730723076418101E-3</v>
      </c>
      <c r="T12" s="63">
        <v>5.1469536708811502E-3</v>
      </c>
      <c r="U12" s="63">
        <v>7.2745202916894534E-3</v>
      </c>
      <c r="V12" s="64">
        <v>6.5848725481858173E-3</v>
      </c>
      <c r="W12" s="64">
        <v>7.6173965039289136E-3</v>
      </c>
      <c r="X12" s="64">
        <v>1.7627812521735522E-2</v>
      </c>
      <c r="Y12" s="64">
        <v>6.2857840617429311E-3</v>
      </c>
      <c r="Z12" s="64">
        <v>1.9076706902491185E-3</v>
      </c>
      <c r="AA12" s="64">
        <v>9.4607284847725368E-4</v>
      </c>
      <c r="AB12" s="64">
        <v>1.8506509236288116E-3</v>
      </c>
      <c r="AC12" s="64">
        <v>4.6351896332167191E-3</v>
      </c>
      <c r="AD12" s="64">
        <v>3.2917238284473167E-3</v>
      </c>
      <c r="AE12" s="64">
        <v>4.6294669069240311E-3</v>
      </c>
      <c r="AF12" s="64">
        <v>4.4145697613493639E-3</v>
      </c>
      <c r="AG12" s="64">
        <v>4.3371419134747612E-3</v>
      </c>
      <c r="AH12" s="64">
        <v>2.9929396547496677E-3</v>
      </c>
      <c r="AI12" s="64">
        <v>5.1858585590020432E-3</v>
      </c>
      <c r="AJ12" s="64">
        <v>6.1497698782469112E-3</v>
      </c>
      <c r="AK12" s="65">
        <f t="shared" si="0"/>
        <v>0.40370295097026609</v>
      </c>
    </row>
    <row r="13" spans="1:37" ht="13.5" customHeight="1">
      <c r="A13" s="44" t="s">
        <v>50</v>
      </c>
      <c r="B13" s="15" t="s">
        <v>8</v>
      </c>
      <c r="C13" s="63">
        <v>2.364600573794368E-2</v>
      </c>
      <c r="D13" s="63">
        <v>1.810788867448461E-2</v>
      </c>
      <c r="E13" s="63">
        <v>1.647743254034989E-2</v>
      </c>
      <c r="F13" s="63">
        <v>2.8805598578179676E-2</v>
      </c>
      <c r="G13" s="63">
        <v>2.7247902602587786E-2</v>
      </c>
      <c r="H13" s="63">
        <v>6.2203510327353871E-3</v>
      </c>
      <c r="I13" s="63">
        <v>0.28501074995008296</v>
      </c>
      <c r="J13" s="63">
        <v>3.7913884911295367E-2</v>
      </c>
      <c r="K13" s="63">
        <v>1.7397228164903921E-2</v>
      </c>
      <c r="L13" s="63">
        <v>6.7064370103026242E-3</v>
      </c>
      <c r="M13" s="63">
        <v>2.3707857879024019E-2</v>
      </c>
      <c r="N13" s="63">
        <v>1.3199775708015917E-2</v>
      </c>
      <c r="O13" s="63">
        <v>2.31974173582816E-2</v>
      </c>
      <c r="P13" s="63">
        <v>1.6233171052462216E-2</v>
      </c>
      <c r="Q13" s="63">
        <v>2.9073171779012408E-2</v>
      </c>
      <c r="R13" s="63">
        <v>3.3065027242078299E-2</v>
      </c>
      <c r="S13" s="63">
        <v>1.250729521688017E-2</v>
      </c>
      <c r="T13" s="63">
        <v>7.3328758167536031E-3</v>
      </c>
      <c r="U13" s="63">
        <v>1.9634832162619496E-2</v>
      </c>
      <c r="V13" s="64">
        <v>1.7523318837768472E-2</v>
      </c>
      <c r="W13" s="64">
        <v>7.6274712291535323E-3</v>
      </c>
      <c r="X13" s="64">
        <v>5.9900730203447669E-3</v>
      </c>
      <c r="Y13" s="64">
        <v>1.4692260019352862E-2</v>
      </c>
      <c r="Z13" s="64">
        <v>4.7380510064577016E-3</v>
      </c>
      <c r="AA13" s="64">
        <v>2.3635496301434148E-3</v>
      </c>
      <c r="AB13" s="64">
        <v>3.345034662671892E-3</v>
      </c>
      <c r="AC13" s="64">
        <v>1.2489580194077652E-2</v>
      </c>
      <c r="AD13" s="64">
        <v>1.1962698732537259E-2</v>
      </c>
      <c r="AE13" s="64">
        <v>5.0873277251641197E-3</v>
      </c>
      <c r="AF13" s="64">
        <v>6.0188604812674174E-3</v>
      </c>
      <c r="AG13" s="64">
        <v>3.3198782357667052E-2</v>
      </c>
      <c r="AH13" s="64">
        <v>8.0603079655557214E-3</v>
      </c>
      <c r="AI13" s="64">
        <v>1.9141420426578515E-2</v>
      </c>
      <c r="AJ13" s="64">
        <v>7.6393071202606484E-3</v>
      </c>
      <c r="AK13" s="65">
        <f t="shared" si="0"/>
        <v>0.80536294682699461</v>
      </c>
    </row>
    <row r="14" spans="1:37" ht="13.5" customHeight="1">
      <c r="A14" s="44"/>
      <c r="B14" s="15" t="s">
        <v>144</v>
      </c>
      <c r="C14" s="63">
        <v>6.2751575216990795E-8</v>
      </c>
      <c r="D14" s="63">
        <v>4.8054565780403674E-8</v>
      </c>
      <c r="E14" s="63">
        <v>4.3727674724339168E-8</v>
      </c>
      <c r="F14" s="63">
        <v>7.6444060188504322E-8</v>
      </c>
      <c r="G14" s="63">
        <v>7.231025944173777E-8</v>
      </c>
      <c r="H14" s="63">
        <v>1.6507516323588873E-8</v>
      </c>
      <c r="I14" s="63">
        <v>1.5963106022504237E-7</v>
      </c>
      <c r="J14" s="63">
        <v>0.28828063447320257</v>
      </c>
      <c r="K14" s="63">
        <v>4.6168620774937565E-8</v>
      </c>
      <c r="L14" s="63">
        <v>1.779748728618102E-8</v>
      </c>
      <c r="M14" s="63">
        <v>6.2915717919413764E-8</v>
      </c>
      <c r="N14" s="63">
        <v>3.5029456026047668E-8</v>
      </c>
      <c r="O14" s="63">
        <v>6.1561115070791068E-8</v>
      </c>
      <c r="P14" s="63">
        <v>4.3079455600159458E-8</v>
      </c>
      <c r="Q14" s="63">
        <v>7.7154143744441369E-8</v>
      </c>
      <c r="R14" s="63">
        <v>8.7747696884960867E-8</v>
      </c>
      <c r="S14" s="63">
        <v>3.3191757003752563E-8</v>
      </c>
      <c r="T14" s="63">
        <v>1.9459925429751777E-8</v>
      </c>
      <c r="U14" s="63">
        <v>5.2106755829314768E-8</v>
      </c>
      <c r="V14" s="64">
        <v>4.6503239163772844E-8</v>
      </c>
      <c r="W14" s="64">
        <v>2.0241720308120199E-8</v>
      </c>
      <c r="X14" s="64">
        <v>1.5896406431478771E-8</v>
      </c>
      <c r="Y14" s="64">
        <v>3.8990198595468355E-8</v>
      </c>
      <c r="Z14" s="64">
        <v>1.2573800725954039E-8</v>
      </c>
      <c r="AA14" s="64">
        <v>6.2723685360965025E-9</v>
      </c>
      <c r="AB14" s="64">
        <v>8.8770254293421582E-9</v>
      </c>
      <c r="AC14" s="64">
        <v>3.3144745022186524E-8</v>
      </c>
      <c r="AD14" s="64">
        <v>3.1746511340324715E-8</v>
      </c>
      <c r="AE14" s="64">
        <v>1.3500708404500318E-8</v>
      </c>
      <c r="AF14" s="64">
        <v>1.5972802358106465E-8</v>
      </c>
      <c r="AG14" s="64">
        <v>8.8102655108753257E-8</v>
      </c>
      <c r="AH14" s="64">
        <v>2.1390378873208611E-8</v>
      </c>
      <c r="AI14" s="64">
        <v>5.0797343829239123E-8</v>
      </c>
      <c r="AJ14" s="64">
        <v>2.0273130298428902E-8</v>
      </c>
      <c r="AK14" s="65">
        <f t="shared" si="0"/>
        <v>0.28828207439508036</v>
      </c>
    </row>
    <row r="15" spans="1:37" ht="13.5" customHeight="1">
      <c r="A15" s="44" t="s">
        <v>51</v>
      </c>
      <c r="B15" s="15" t="s">
        <v>9</v>
      </c>
      <c r="C15" s="63">
        <v>2.1313841540302595E-3</v>
      </c>
      <c r="D15" s="63">
        <v>3.3067301698650031E-3</v>
      </c>
      <c r="E15" s="63">
        <v>5.5483066617782184E-3</v>
      </c>
      <c r="F15" s="63">
        <v>1.3929042379487091E-3</v>
      </c>
      <c r="G15" s="63">
        <v>2.2398042729472878E-3</v>
      </c>
      <c r="H15" s="63">
        <v>1.0480644112160189E-3</v>
      </c>
      <c r="I15" s="63">
        <v>3.5083034162760795E-3</v>
      </c>
      <c r="J15" s="63">
        <v>2.6139488232575017E-3</v>
      </c>
      <c r="K15" s="63">
        <v>0.78637720931806632</v>
      </c>
      <c r="L15" s="63">
        <v>1.4797279921089443E-2</v>
      </c>
      <c r="M15" s="63">
        <v>7.1980459383353436E-3</v>
      </c>
      <c r="N15" s="63">
        <v>4.5514422501523634E-3</v>
      </c>
      <c r="O15" s="63">
        <v>7.4202752885091372E-3</v>
      </c>
      <c r="P15" s="63">
        <v>4.8034702401752267E-3</v>
      </c>
      <c r="Q15" s="63">
        <v>8.5264233921051608E-3</v>
      </c>
      <c r="R15" s="63">
        <v>7.7246799676190577E-3</v>
      </c>
      <c r="S15" s="63">
        <v>2.9722529762749002E-3</v>
      </c>
      <c r="T15" s="63">
        <v>-2.7681389239031929E-4</v>
      </c>
      <c r="U15" s="63">
        <v>5.4162946285036895E-3</v>
      </c>
      <c r="V15" s="64">
        <v>6.6272355942218975E-2</v>
      </c>
      <c r="W15" s="64">
        <v>1.3864777205379439E-3</v>
      </c>
      <c r="X15" s="64">
        <v>1.2413946611369434E-3</v>
      </c>
      <c r="Y15" s="64">
        <v>4.9890614692074285E-3</v>
      </c>
      <c r="Z15" s="64">
        <v>1.0476252683495578E-3</v>
      </c>
      <c r="AA15" s="64">
        <v>5.7834815868249543E-4</v>
      </c>
      <c r="AB15" s="64">
        <v>5.384039597226377E-3</v>
      </c>
      <c r="AC15" s="64">
        <v>2.0001194259918055E-3</v>
      </c>
      <c r="AD15" s="64">
        <v>2.5484674408642388E-3</v>
      </c>
      <c r="AE15" s="64">
        <v>2.2621112024307785E-3</v>
      </c>
      <c r="AF15" s="64">
        <v>1.756678244640661E-3</v>
      </c>
      <c r="AG15" s="64">
        <v>1.332158707138677E-3</v>
      </c>
      <c r="AH15" s="64">
        <v>3.109847877640958E-3</v>
      </c>
      <c r="AI15" s="64">
        <v>2.7191809134448235E-3</v>
      </c>
      <c r="AJ15" s="64">
        <v>3.1861832142043699E-3</v>
      </c>
      <c r="AK15" s="65">
        <f t="shared" si="0"/>
        <v>0.97111405601947542</v>
      </c>
    </row>
    <row r="16" spans="1:37" ht="13.5" customHeight="1">
      <c r="A16" s="44" t="s">
        <v>52</v>
      </c>
      <c r="B16" s="15" t="s">
        <v>10</v>
      </c>
      <c r="C16" s="63">
        <v>3.955553541971725E-3</v>
      </c>
      <c r="D16" s="63">
        <v>1.2146639409906941E-2</v>
      </c>
      <c r="E16" s="63">
        <v>5.2369917018852338E-3</v>
      </c>
      <c r="F16" s="63">
        <v>3.4637767055845825E-3</v>
      </c>
      <c r="G16" s="63">
        <v>6.0741259504233352E-3</v>
      </c>
      <c r="H16" s="63">
        <v>5.7256915024141855E-3</v>
      </c>
      <c r="I16" s="63">
        <v>6.7717577370722485E-3</v>
      </c>
      <c r="J16" s="63">
        <v>1.1318045413627145E-2</v>
      </c>
      <c r="K16" s="63">
        <v>1.9592748501374286E-2</v>
      </c>
      <c r="L16" s="63">
        <v>0.65273359219716709</v>
      </c>
      <c r="M16" s="63">
        <v>0.12634788983950762</v>
      </c>
      <c r="N16" s="63">
        <v>1.3901549593587924E-2</v>
      </c>
      <c r="O16" s="63">
        <v>6.9970891442931824E-2</v>
      </c>
      <c r="P16" s="63">
        <v>6.8635268335368579E-2</v>
      </c>
      <c r="Q16" s="63">
        <v>7.0690780348720464E-2</v>
      </c>
      <c r="R16" s="63">
        <v>4.5105832330318646E-2</v>
      </c>
      <c r="S16" s="63">
        <v>1.6760570238448073E-2</v>
      </c>
      <c r="T16" s="63">
        <v>5.2529355168715224E-3</v>
      </c>
      <c r="U16" s="63">
        <v>1.2060805184196263E-2</v>
      </c>
      <c r="V16" s="64">
        <v>6.2102951569990593E-2</v>
      </c>
      <c r="W16" s="64">
        <v>3.2810086716098851E-3</v>
      </c>
      <c r="X16" s="64">
        <v>5.3278884627910878E-3</v>
      </c>
      <c r="Y16" s="64">
        <v>5.709984005929339E-3</v>
      </c>
      <c r="Z16" s="64">
        <v>3.2377326188706168E-3</v>
      </c>
      <c r="AA16" s="64">
        <v>1.3617640684858671E-3</v>
      </c>
      <c r="AB16" s="64">
        <v>5.8190051077517064E-3</v>
      </c>
      <c r="AC16" s="64">
        <v>6.2919455687411299E-3</v>
      </c>
      <c r="AD16" s="64">
        <v>5.0949519228303533E-3</v>
      </c>
      <c r="AE16" s="64">
        <v>3.9255801269346708E-3</v>
      </c>
      <c r="AF16" s="64">
        <v>3.2434373930907414E-3</v>
      </c>
      <c r="AG16" s="64">
        <v>3.1922419189915007E-3</v>
      </c>
      <c r="AH16" s="64">
        <v>3.9795089569516729E-3</v>
      </c>
      <c r="AI16" s="64">
        <v>1.266321837952362E-2</v>
      </c>
      <c r="AJ16" s="64">
        <v>6.3052355015172134E-3</v>
      </c>
      <c r="AK16" s="65">
        <f t="shared" si="0"/>
        <v>1.2872818997653879</v>
      </c>
    </row>
    <row r="17" spans="1:37" ht="13.5" customHeight="1">
      <c r="A17" s="44" t="s">
        <v>53</v>
      </c>
      <c r="B17" s="15" t="s">
        <v>54</v>
      </c>
      <c r="C17" s="63">
        <v>2.7527166492406077E-5</v>
      </c>
      <c r="D17" s="63">
        <v>1.0647070492918276E-4</v>
      </c>
      <c r="E17" s="63">
        <v>6.4265266805432777E-5</v>
      </c>
      <c r="F17" s="63">
        <v>2.4006209709656006E-5</v>
      </c>
      <c r="G17" s="63">
        <v>6.2803592110974605E-5</v>
      </c>
      <c r="H17" s="63">
        <v>6.054167619922998E-5</v>
      </c>
      <c r="I17" s="63">
        <v>4.1283597494903615E-5</v>
      </c>
      <c r="J17" s="63">
        <v>7.229476586759361E-5</v>
      </c>
      <c r="K17" s="63">
        <v>7.3998742642260274E-5</v>
      </c>
      <c r="L17" s="63">
        <v>4.5826256360713743E-5</v>
      </c>
      <c r="M17" s="63">
        <v>3.1516478657725401E-3</v>
      </c>
      <c r="N17" s="63">
        <v>3.8419974971461251E-5</v>
      </c>
      <c r="O17" s="63">
        <v>1.2685386517777677E-4</v>
      </c>
      <c r="P17" s="63">
        <v>3.8992727801289692E-4</v>
      </c>
      <c r="Q17" s="63">
        <v>2.4876444706384239E-4</v>
      </c>
      <c r="R17" s="63">
        <v>1.735005629653445E-4</v>
      </c>
      <c r="S17" s="63">
        <v>7.364253992918533E-5</v>
      </c>
      <c r="T17" s="63">
        <v>3.1311102180859964E-5</v>
      </c>
      <c r="U17" s="63">
        <v>7.8620357707544266E-5</v>
      </c>
      <c r="V17" s="64">
        <v>2.6454910256962395E-4</v>
      </c>
      <c r="W17" s="64">
        <v>2.5709495891922405E-5</v>
      </c>
      <c r="X17" s="64">
        <v>3.3671600544723559E-5</v>
      </c>
      <c r="Y17" s="64">
        <v>5.3599544905442416E-5</v>
      </c>
      <c r="Z17" s="64">
        <v>1.7523418914209065E-5</v>
      </c>
      <c r="AA17" s="64">
        <v>9.9661879318955611E-6</v>
      </c>
      <c r="AB17" s="64">
        <v>2.8553830605136207E-5</v>
      </c>
      <c r="AC17" s="64">
        <v>3.2271638391521242E-5</v>
      </c>
      <c r="AD17" s="64">
        <v>4.281048345357919E-5</v>
      </c>
      <c r="AE17" s="64">
        <v>3.8844734510393713E-5</v>
      </c>
      <c r="AF17" s="64">
        <v>2.5395624279212939E-5</v>
      </c>
      <c r="AG17" s="64">
        <v>1.9892965966442602E-5</v>
      </c>
      <c r="AH17" s="64">
        <v>3.2108844992334457E-5</v>
      </c>
      <c r="AI17" s="64">
        <v>7.9479847524868485E-5</v>
      </c>
      <c r="AJ17" s="64">
        <v>5.0559708455288739E-5</v>
      </c>
      <c r="AK17" s="65">
        <f t="shared" si="0"/>
        <v>5.6466430013303991E-3</v>
      </c>
    </row>
    <row r="18" spans="1:37" ht="13.5" customHeight="1">
      <c r="A18" s="44" t="s">
        <v>55</v>
      </c>
      <c r="B18" s="15" t="s">
        <v>56</v>
      </c>
      <c r="C18" s="63">
        <v>1.2025308767064004E-4</v>
      </c>
      <c r="D18" s="63">
        <v>2.0513121814424095E-4</v>
      </c>
      <c r="E18" s="63">
        <v>1.4206872268275427E-4</v>
      </c>
      <c r="F18" s="63">
        <v>1.2060429674945204E-4</v>
      </c>
      <c r="G18" s="63">
        <v>1.9047593250881583E-4</v>
      </c>
      <c r="H18" s="63">
        <v>1.0640367208513747E-4</v>
      </c>
      <c r="I18" s="63">
        <v>1.2786194177683642E-4</v>
      </c>
      <c r="J18" s="63">
        <v>2.0127126855295509E-4</v>
      </c>
      <c r="K18" s="63">
        <v>1.6943613353442505E-4</v>
      </c>
      <c r="L18" s="63">
        <v>1.3463006266719121E-4</v>
      </c>
      <c r="M18" s="63">
        <v>2.6500951562114194E-4</v>
      </c>
      <c r="N18" s="63">
        <v>1.4069018851547309E-2</v>
      </c>
      <c r="O18" s="63">
        <v>9.0923996300585643E-4</v>
      </c>
      <c r="P18" s="63">
        <v>7.2092966028776179E-4</v>
      </c>
      <c r="Q18" s="63">
        <v>5.4258335666569515E-4</v>
      </c>
      <c r="R18" s="63">
        <v>2.2441631776516584E-4</v>
      </c>
      <c r="S18" s="63">
        <v>5.0041529038736827E-4</v>
      </c>
      <c r="T18" s="63">
        <v>1.6917136076579874E-4</v>
      </c>
      <c r="U18" s="63">
        <v>3.1948842707281953E-4</v>
      </c>
      <c r="V18" s="64">
        <v>2.1314127852339006E-4</v>
      </c>
      <c r="W18" s="64">
        <v>2.1112191248117952E-4</v>
      </c>
      <c r="X18" s="64">
        <v>1.4622545565716479E-4</v>
      </c>
      <c r="Y18" s="64">
        <v>2.1240950947875835E-4</v>
      </c>
      <c r="Z18" s="64">
        <v>5.0772708259795606E-4</v>
      </c>
      <c r="AA18" s="64">
        <v>1.0350718515965104E-4</v>
      </c>
      <c r="AB18" s="64">
        <v>9.3596691004108184E-5</v>
      </c>
      <c r="AC18" s="64">
        <v>5.604171291097432E-4</v>
      </c>
      <c r="AD18" s="64">
        <v>2.5906572779755914E-4</v>
      </c>
      <c r="AE18" s="64">
        <v>1.1455678490162723E-4</v>
      </c>
      <c r="AF18" s="64">
        <v>2.1728141972488586E-4</v>
      </c>
      <c r="AG18" s="64">
        <v>1.8774218702524229E-4</v>
      </c>
      <c r="AH18" s="64">
        <v>2.2178193789495953E-4</v>
      </c>
      <c r="AI18" s="64">
        <v>5.4052409187341417E-4</v>
      </c>
      <c r="AJ18" s="64">
        <v>2.7277936429951781E-4</v>
      </c>
      <c r="AK18" s="65">
        <f t="shared" si="0"/>
        <v>2.3100286837020523E-2</v>
      </c>
    </row>
    <row r="19" spans="1:37" ht="13.5" customHeight="1">
      <c r="A19" s="44" t="s">
        <v>57</v>
      </c>
      <c r="B19" s="15" t="s">
        <v>58</v>
      </c>
      <c r="C19" s="63">
        <v>6.7012604305290012E-6</v>
      </c>
      <c r="D19" s="63">
        <v>2.7617253252873767E-5</v>
      </c>
      <c r="E19" s="63">
        <v>8.2362169874002992E-6</v>
      </c>
      <c r="F19" s="63">
        <v>7.7027442187274447E-6</v>
      </c>
      <c r="G19" s="63">
        <v>1.1660364303283927E-5</v>
      </c>
      <c r="H19" s="63">
        <v>4.8782923767871145E-6</v>
      </c>
      <c r="I19" s="63">
        <v>7.505960975859349E-6</v>
      </c>
      <c r="J19" s="63">
        <v>1.3017723106324677E-5</v>
      </c>
      <c r="K19" s="63">
        <v>1.7195369261322861E-5</v>
      </c>
      <c r="L19" s="63">
        <v>9.0927099271994114E-6</v>
      </c>
      <c r="M19" s="63">
        <v>1.7603810908934155E-5</v>
      </c>
      <c r="N19" s="63">
        <v>1.8313895039718216E-5</v>
      </c>
      <c r="O19" s="63">
        <v>8.5829779481161556E-4</v>
      </c>
      <c r="P19" s="63">
        <v>4.4039780657949583E-5</v>
      </c>
      <c r="Q19" s="63">
        <v>7.3704890843093396E-5</v>
      </c>
      <c r="R19" s="63">
        <v>1.8002067838999929E-5</v>
      </c>
      <c r="S19" s="63">
        <v>2.8421026782736725E-5</v>
      </c>
      <c r="T19" s="63">
        <v>1.4205791550625605E-5</v>
      </c>
      <c r="U19" s="63">
        <v>3.0908339615859479E-5</v>
      </c>
      <c r="V19" s="64">
        <v>4.3546537763599784E-5</v>
      </c>
      <c r="W19" s="64">
        <v>1.0892408711150927E-5</v>
      </c>
      <c r="X19" s="64">
        <v>1.8321798712555394E-5</v>
      </c>
      <c r="Y19" s="64">
        <v>1.6479403090650952E-5</v>
      </c>
      <c r="Z19" s="64">
        <v>1.9069527058435016E-5</v>
      </c>
      <c r="AA19" s="64">
        <v>5.4389037681771568E-6</v>
      </c>
      <c r="AB19" s="64">
        <v>8.7368359641060396E-6</v>
      </c>
      <c r="AC19" s="64">
        <v>2.7199575853968705E-5</v>
      </c>
      <c r="AD19" s="64">
        <v>2.0960558574198653E-5</v>
      </c>
      <c r="AE19" s="64">
        <v>8.2718328857141368E-6</v>
      </c>
      <c r="AF19" s="64">
        <v>9.3837329165993063E-6</v>
      </c>
      <c r="AG19" s="64">
        <v>6.4622125629725609E-6</v>
      </c>
      <c r="AH19" s="64">
        <v>1.2493793491994738E-5</v>
      </c>
      <c r="AI19" s="64">
        <v>3.9850122620245331E-5</v>
      </c>
      <c r="AJ19" s="64">
        <v>1.126572049384064E-5</v>
      </c>
      <c r="AK19" s="65">
        <f t="shared" si="0"/>
        <v>1.4754782573580497E-3</v>
      </c>
    </row>
    <row r="20" spans="1:37" ht="13.5" customHeight="1">
      <c r="A20" s="44" t="s">
        <v>59</v>
      </c>
      <c r="B20" s="15" t="s">
        <v>11</v>
      </c>
      <c r="C20" s="63">
        <v>1.8737396085065529E-4</v>
      </c>
      <c r="D20" s="63">
        <v>1.1525636371841825E-3</v>
      </c>
      <c r="E20" s="63">
        <v>2.3753147707823485E-4</v>
      </c>
      <c r="F20" s="63">
        <v>1.4376310248825436E-4</v>
      </c>
      <c r="G20" s="63">
        <v>2.3925031092274246E-4</v>
      </c>
      <c r="H20" s="63">
        <v>3.7623360874155766E-4</v>
      </c>
      <c r="I20" s="63">
        <v>2.1082962544433635E-4</v>
      </c>
      <c r="J20" s="63">
        <v>3.9221817232533082E-3</v>
      </c>
      <c r="K20" s="63">
        <v>4.1073084486432959E-4</v>
      </c>
      <c r="L20" s="63">
        <v>2.9983215095920253E-4</v>
      </c>
      <c r="M20" s="63">
        <v>9.1024671214951435E-4</v>
      </c>
      <c r="N20" s="63">
        <v>2.841112313187057E-4</v>
      </c>
      <c r="O20" s="63">
        <v>4.356045192630145E-4</v>
      </c>
      <c r="P20" s="63">
        <v>4.2675919035421603E-2</v>
      </c>
      <c r="Q20" s="63">
        <v>1.2194793977519448E-3</v>
      </c>
      <c r="R20" s="63">
        <v>2.7432639653754767E-4</v>
      </c>
      <c r="S20" s="63">
        <v>6.4805905746173479E-4</v>
      </c>
      <c r="T20" s="63">
        <v>3.4585506799775988E-4</v>
      </c>
      <c r="U20" s="63">
        <v>1.3722605387430184E-3</v>
      </c>
      <c r="V20" s="64">
        <v>1.3931434674249032E-3</v>
      </c>
      <c r="W20" s="64">
        <v>1.5701301705441326E-4</v>
      </c>
      <c r="X20" s="64">
        <v>2.3371339904358429E-4</v>
      </c>
      <c r="Y20" s="64">
        <v>2.3053417888919476E-4</v>
      </c>
      <c r="Z20" s="64">
        <v>9.955059198963149E-5</v>
      </c>
      <c r="AA20" s="64">
        <v>5.0723310558164195E-5</v>
      </c>
      <c r="AB20" s="64">
        <v>1.974313047799551E-4</v>
      </c>
      <c r="AC20" s="64">
        <v>2.4667108021254755E-4</v>
      </c>
      <c r="AD20" s="64">
        <v>2.047655949263265E-4</v>
      </c>
      <c r="AE20" s="64">
        <v>1.7688968955650443E-4</v>
      </c>
      <c r="AF20" s="64">
        <v>1.8598508807763311E-4</v>
      </c>
      <c r="AG20" s="64">
        <v>1.3247147982338049E-4</v>
      </c>
      <c r="AH20" s="64">
        <v>1.9723370964975614E-4</v>
      </c>
      <c r="AI20" s="64">
        <v>2.8788136305267617E-4</v>
      </c>
      <c r="AJ20" s="64">
        <v>2.4729227566576368E-4</v>
      </c>
      <c r="AK20" s="65">
        <f t="shared" si="0"/>
        <v>5.9387451949136076E-2</v>
      </c>
    </row>
    <row r="21" spans="1:37" ht="13.5" customHeight="1">
      <c r="A21" s="44" t="s">
        <v>60</v>
      </c>
      <c r="B21" s="15" t="s">
        <v>12</v>
      </c>
      <c r="C21" s="63">
        <v>6.5480708664454663E-5</v>
      </c>
      <c r="D21" s="63">
        <v>3.9352868365501756E-4</v>
      </c>
      <c r="E21" s="63">
        <v>6.6980628975032579E-5</v>
      </c>
      <c r="F21" s="63">
        <v>6.9939666689731412E-5</v>
      </c>
      <c r="G21" s="63">
        <v>8.1193377516342575E-5</v>
      </c>
      <c r="H21" s="63">
        <v>2.8032847492268263E-5</v>
      </c>
      <c r="I21" s="63">
        <v>5.6612751066136136E-5</v>
      </c>
      <c r="J21" s="63">
        <v>6.1659998865579293E-5</v>
      </c>
      <c r="K21" s="63">
        <v>1.5403429155940568E-4</v>
      </c>
      <c r="L21" s="63">
        <v>5.7043018085051471E-5</v>
      </c>
      <c r="M21" s="63">
        <v>8.4972924827252268E-5</v>
      </c>
      <c r="N21" s="63">
        <v>4.6361520503858573E-5</v>
      </c>
      <c r="O21" s="63">
        <v>5.2817594075403162E-5</v>
      </c>
      <c r="P21" s="63">
        <v>1.0848406619273764E-4</v>
      </c>
      <c r="Q21" s="63">
        <v>9.4597921812353998E-3</v>
      </c>
      <c r="R21" s="63">
        <v>8.4054923607265367E-5</v>
      </c>
      <c r="S21" s="63">
        <v>4.4179330824383682E-4</v>
      </c>
      <c r="T21" s="63">
        <v>2.6656135520238081E-5</v>
      </c>
      <c r="U21" s="63">
        <v>2.0202974519949678E-4</v>
      </c>
      <c r="V21" s="64">
        <v>5.4475437250368429E-5</v>
      </c>
      <c r="W21" s="64">
        <v>6.7473045844974704E-5</v>
      </c>
      <c r="X21" s="64">
        <v>2.9960133367405825E-4</v>
      </c>
      <c r="Y21" s="64">
        <v>5.4216877755293963E-5</v>
      </c>
      <c r="Z21" s="64">
        <v>3.5679958202949063E-5</v>
      </c>
      <c r="AA21" s="64">
        <v>1.9726390993399042E-5</v>
      </c>
      <c r="AB21" s="64">
        <v>2.0245068003918716E-5</v>
      </c>
      <c r="AC21" s="64">
        <v>1.288701502549454E-4</v>
      </c>
      <c r="AD21" s="64">
        <v>9.7713920189578782E-5</v>
      </c>
      <c r="AE21" s="64">
        <v>1.6062492912797719E-4</v>
      </c>
      <c r="AF21" s="64">
        <v>3.894957971458582E-5</v>
      </c>
      <c r="AG21" s="64">
        <v>3.6473176266747632E-5</v>
      </c>
      <c r="AH21" s="64">
        <v>5.0727837572160822E-5</v>
      </c>
      <c r="AI21" s="64">
        <v>8.9173770407662879E-4</v>
      </c>
      <c r="AJ21" s="64">
        <v>1.7372622150496161E-4</v>
      </c>
      <c r="AK21" s="65">
        <f t="shared" si="0"/>
        <v>1.3671710002407054E-2</v>
      </c>
    </row>
    <row r="22" spans="1:37" ht="13.5" customHeight="1">
      <c r="A22" s="44" t="s">
        <v>61</v>
      </c>
      <c r="B22" s="15" t="s">
        <v>62</v>
      </c>
      <c r="C22" s="63">
        <v>2.2293514459261079E-4</v>
      </c>
      <c r="D22" s="63">
        <v>4.0126909396095045E-4</v>
      </c>
      <c r="E22" s="63">
        <v>4.475999122981446E-4</v>
      </c>
      <c r="F22" s="63">
        <v>3.8799646662840485E-4</v>
      </c>
      <c r="G22" s="63">
        <v>3.6698232115698416E-4</v>
      </c>
      <c r="H22" s="63">
        <v>7.3494861372558565E-5</v>
      </c>
      <c r="I22" s="63">
        <v>1.9845658318176475E-4</v>
      </c>
      <c r="J22" s="63">
        <v>2.0549765794908257E-4</v>
      </c>
      <c r="K22" s="63">
        <v>2.7707296737104726E-4</v>
      </c>
      <c r="L22" s="63">
        <v>1.9440181979445451E-4</v>
      </c>
      <c r="M22" s="63">
        <v>3.4988731671411311E-4</v>
      </c>
      <c r="N22" s="63">
        <v>1.583266138111163E-4</v>
      </c>
      <c r="O22" s="63">
        <v>2.1040994983354084E-4</v>
      </c>
      <c r="P22" s="63">
        <v>2.7939807492242502E-4</v>
      </c>
      <c r="Q22" s="63">
        <v>2.2382763837842067E-4</v>
      </c>
      <c r="R22" s="63">
        <v>0.12759393517375214</v>
      </c>
      <c r="S22" s="63">
        <v>5.4213641608802593E-4</v>
      </c>
      <c r="T22" s="63">
        <v>9.9397609902032548E-5</v>
      </c>
      <c r="U22" s="63">
        <v>8.6198596231814716E-4</v>
      </c>
      <c r="V22" s="64">
        <v>1.1135871701504205E-3</v>
      </c>
      <c r="W22" s="64">
        <v>5.6756766678958757E-4</v>
      </c>
      <c r="X22" s="64">
        <v>2.9770041079110472E-4</v>
      </c>
      <c r="Y22" s="64">
        <v>1.8154271096077496E-3</v>
      </c>
      <c r="Z22" s="64">
        <v>5.2012015091344624E-4</v>
      </c>
      <c r="AA22" s="64">
        <v>3.1570624541946282E-4</v>
      </c>
      <c r="AB22" s="64">
        <v>6.8549042349685886E-4</v>
      </c>
      <c r="AC22" s="64">
        <v>9.8210644379207899E-4</v>
      </c>
      <c r="AD22" s="64">
        <v>1.0864454694527322E-3</v>
      </c>
      <c r="AE22" s="64">
        <v>5.1604364210154109E-4</v>
      </c>
      <c r="AF22" s="64">
        <v>2.0242076523908368E-3</v>
      </c>
      <c r="AG22" s="64">
        <v>6.1673793482596307E-4</v>
      </c>
      <c r="AH22" s="64">
        <v>2.2699427553285975E-3</v>
      </c>
      <c r="AI22" s="64">
        <v>1.5352533395701566E-3</v>
      </c>
      <c r="AJ22" s="64">
        <v>8.076748343930337E-4</v>
      </c>
      <c r="AK22" s="65">
        <f t="shared" si="0"/>
        <v>0.14824902283304953</v>
      </c>
    </row>
    <row r="23" spans="1:37" ht="13.5" customHeight="1">
      <c r="A23" s="44" t="s">
        <v>63</v>
      </c>
      <c r="B23" s="15" t="s">
        <v>64</v>
      </c>
      <c r="C23" s="63">
        <v>3.4115367784425421E-4</v>
      </c>
      <c r="D23" s="63">
        <v>8.0138337059080698E-4</v>
      </c>
      <c r="E23" s="63">
        <v>8.6638485138191179E-4</v>
      </c>
      <c r="F23" s="63">
        <v>1.5979728847288839E-3</v>
      </c>
      <c r="G23" s="63">
        <v>9.7489219485841845E-4</v>
      </c>
      <c r="H23" s="63">
        <v>1.2450456712843053E-4</v>
      </c>
      <c r="I23" s="63">
        <v>6.7998193583153604E-4</v>
      </c>
      <c r="J23" s="63">
        <v>7.5005313026971828E-4</v>
      </c>
      <c r="K23" s="63">
        <v>8.2665509496334245E-4</v>
      </c>
      <c r="L23" s="63">
        <v>6.1738535184082733E-4</v>
      </c>
      <c r="M23" s="63">
        <v>1.2288699366762928E-3</v>
      </c>
      <c r="N23" s="63">
        <v>1.218260115886135E-3</v>
      </c>
      <c r="O23" s="63">
        <v>9.0669696830499177E-4</v>
      </c>
      <c r="P23" s="63">
        <v>1.7740725537274216E-3</v>
      </c>
      <c r="Q23" s="63">
        <v>1.024413755141045E-3</v>
      </c>
      <c r="R23" s="63">
        <v>1.6560661996099057E-3</v>
      </c>
      <c r="S23" s="63">
        <v>1.9788077449942421E-2</v>
      </c>
      <c r="T23" s="63">
        <v>1.5306828175498552E-4</v>
      </c>
      <c r="U23" s="63">
        <v>4.4161266101258915E-4</v>
      </c>
      <c r="V23" s="64">
        <v>3.8719788367946466E-4</v>
      </c>
      <c r="W23" s="64">
        <v>1.466663975213396E-4</v>
      </c>
      <c r="X23" s="64">
        <v>1.381419499001106E-4</v>
      </c>
      <c r="Y23" s="64">
        <v>3.627284763758655E-4</v>
      </c>
      <c r="Z23" s="64">
        <v>1.4895396710702316E-4</v>
      </c>
      <c r="AA23" s="64">
        <v>6.4143542994480284E-5</v>
      </c>
      <c r="AB23" s="64">
        <v>8.5321492670053318E-5</v>
      </c>
      <c r="AC23" s="64">
        <v>2.0633787947705673E-4</v>
      </c>
      <c r="AD23" s="64">
        <v>2.9781895837057673E-4</v>
      </c>
      <c r="AE23" s="64">
        <v>1.216917726090189E-4</v>
      </c>
      <c r="AF23" s="64">
        <v>1.6651323800460357E-4</v>
      </c>
      <c r="AG23" s="64">
        <v>2.581130273148383E-4</v>
      </c>
      <c r="AH23" s="64">
        <v>2.1765597022179876E-4</v>
      </c>
      <c r="AI23" s="64">
        <v>3.2223678021938416E-4</v>
      </c>
      <c r="AJ23" s="64">
        <v>1.7527756960209807E-4</v>
      </c>
      <c r="AK23" s="65">
        <f t="shared" si="0"/>
        <v>3.8870303887561602E-2</v>
      </c>
    </row>
    <row r="24" spans="1:37" ht="13.5" customHeight="1">
      <c r="A24" s="44" t="s">
        <v>65</v>
      </c>
      <c r="B24" s="15" t="s">
        <v>13</v>
      </c>
      <c r="C24" s="63">
        <v>7.6795102046243374E-2</v>
      </c>
      <c r="D24" s="63">
        <v>0.13661608835685229</v>
      </c>
      <c r="E24" s="63">
        <v>7.5479963785645601E-2</v>
      </c>
      <c r="F24" s="63">
        <v>6.7742309643684259E-2</v>
      </c>
      <c r="G24" s="63">
        <v>0.13339061697045332</v>
      </c>
      <c r="H24" s="63">
        <v>5.7855680485252609E-2</v>
      </c>
      <c r="I24" s="63">
        <v>0.1013530066065431</v>
      </c>
      <c r="J24" s="63">
        <v>0.49827530093094063</v>
      </c>
      <c r="K24" s="63">
        <v>0.14335814268607303</v>
      </c>
      <c r="L24" s="63">
        <v>0.17441688076866821</v>
      </c>
      <c r="M24" s="63">
        <v>8.2875215181746092E-2</v>
      </c>
      <c r="N24" s="63">
        <v>8.8587858662994956E-2</v>
      </c>
      <c r="O24" s="63">
        <v>6.3253381164887906E-2</v>
      </c>
      <c r="P24" s="63">
        <v>6.6852064742758885E-2</v>
      </c>
      <c r="Q24" s="63">
        <v>8.1479466939753692E-2</v>
      </c>
      <c r="R24" s="63">
        <v>5.9897462294568098E-2</v>
      </c>
      <c r="S24" s="63">
        <v>4.4141994102406913E-2</v>
      </c>
      <c r="T24" s="63">
        <v>1.8324816874261258</v>
      </c>
      <c r="U24" s="63">
        <v>7.0369909741969786E-2</v>
      </c>
      <c r="V24" s="64">
        <v>5.3113393053793923E-2</v>
      </c>
      <c r="W24" s="64">
        <v>3.7586195205188848E-2</v>
      </c>
      <c r="X24" s="64">
        <v>4.9879073838335959E-2</v>
      </c>
      <c r="Y24" s="64">
        <v>5.0013042412425469E-2</v>
      </c>
      <c r="Z24" s="64">
        <v>2.6781199177818925E-2</v>
      </c>
      <c r="AA24" s="64">
        <v>1.7902426803735254E-2</v>
      </c>
      <c r="AB24" s="64">
        <v>2.5004891059002644E-2</v>
      </c>
      <c r="AC24" s="64">
        <v>5.8440391718190911E-2</v>
      </c>
      <c r="AD24" s="64">
        <v>2.4342122066428936E-2</v>
      </c>
      <c r="AE24" s="64">
        <v>2.0440525853666323E-2</v>
      </c>
      <c r="AF24" s="64">
        <v>5.5956726503839267E-2</v>
      </c>
      <c r="AG24" s="64">
        <v>3.8291603109121393E-2</v>
      </c>
      <c r="AH24" s="64">
        <v>4.5163112426884908E-2</v>
      </c>
      <c r="AI24" s="64">
        <v>4.8808649815315894E-2</v>
      </c>
      <c r="AJ24" s="64">
        <v>2.6400160753310222E-2</v>
      </c>
      <c r="AK24" s="65">
        <f t="shared" si="0"/>
        <v>4.4333456463346268</v>
      </c>
    </row>
    <row r="25" spans="1:37" ht="13.5" customHeight="1">
      <c r="A25" s="44" t="s">
        <v>66</v>
      </c>
      <c r="B25" s="15" t="s">
        <v>67</v>
      </c>
      <c r="C25" s="63">
        <v>2.5205650331920895E-3</v>
      </c>
      <c r="D25" s="63">
        <v>3.3778476100552492E-3</v>
      </c>
      <c r="E25" s="63">
        <v>4.192560894552045E-3</v>
      </c>
      <c r="F25" s="63">
        <v>4.5788477296874082E-3</v>
      </c>
      <c r="G25" s="63">
        <v>7.8760528552128083E-3</v>
      </c>
      <c r="H25" s="63">
        <v>9.6534490014369638E-4</v>
      </c>
      <c r="I25" s="63">
        <v>8.5173029176792477E-3</v>
      </c>
      <c r="J25" s="63">
        <v>8.3330607197311876E-3</v>
      </c>
      <c r="K25" s="63">
        <v>8.6782172251445681E-3</v>
      </c>
      <c r="L25" s="63">
        <v>1.6138533738529665E-2</v>
      </c>
      <c r="M25" s="63">
        <v>8.0226851974556073E-3</v>
      </c>
      <c r="N25" s="63">
        <v>1.6990036844638046E-3</v>
      </c>
      <c r="O25" s="63">
        <v>3.9813582229709316E-3</v>
      </c>
      <c r="P25" s="63">
        <v>5.4345657079564683E-3</v>
      </c>
      <c r="Q25" s="63">
        <v>4.4319350229975419E-3</v>
      </c>
      <c r="R25" s="63">
        <v>4.4265725898356345E-3</v>
      </c>
      <c r="S25" s="63">
        <v>3.2880277443931307E-3</v>
      </c>
      <c r="T25" s="63">
        <v>1.8824723580835219E-3</v>
      </c>
      <c r="U25" s="63">
        <v>0.46127731186765181</v>
      </c>
      <c r="V25" s="64">
        <v>4.1224269565363096E-3</v>
      </c>
      <c r="W25" s="64">
        <v>1.7490435032358437E-3</v>
      </c>
      <c r="X25" s="64">
        <v>2.063135932116779E-3</v>
      </c>
      <c r="Y25" s="64">
        <v>8.1930853160828536E-3</v>
      </c>
      <c r="Z25" s="64">
        <v>1.8669987290613665E-3</v>
      </c>
      <c r="AA25" s="64">
        <v>1.493726773034378E-3</v>
      </c>
      <c r="AB25" s="64">
        <v>5.2828697586032826E-3</v>
      </c>
      <c r="AC25" s="64">
        <v>2.9990568539713137E-3</v>
      </c>
      <c r="AD25" s="64">
        <v>2.9197680135022996E-3</v>
      </c>
      <c r="AE25" s="64">
        <v>3.1407005274698054E-3</v>
      </c>
      <c r="AF25" s="64">
        <v>5.2635639100581319E-3</v>
      </c>
      <c r="AG25" s="64">
        <v>5.8536140506899878E-3</v>
      </c>
      <c r="AH25" s="64">
        <v>4.5206474139699304E-3</v>
      </c>
      <c r="AI25" s="64">
        <v>5.7969339937421326E-3</v>
      </c>
      <c r="AJ25" s="64">
        <v>3.9429909749154803E-3</v>
      </c>
      <c r="AK25" s="65">
        <f t="shared" si="0"/>
        <v>0.61883082872672623</v>
      </c>
    </row>
    <row r="26" spans="1:37" ht="13.5" customHeight="1">
      <c r="A26" s="44" t="s">
        <v>68</v>
      </c>
      <c r="B26" s="15" t="s">
        <v>14</v>
      </c>
      <c r="C26" s="63">
        <v>1.5279695322347341E-5</v>
      </c>
      <c r="D26" s="63">
        <v>4.3433013987047918E-5</v>
      </c>
      <c r="E26" s="63">
        <v>1.5876877016236935E-5</v>
      </c>
      <c r="F26" s="63">
        <v>1.1934925064186293E-5</v>
      </c>
      <c r="G26" s="63">
        <v>1.7675771274592613E-5</v>
      </c>
      <c r="H26" s="63">
        <v>6.1966529971627319E-6</v>
      </c>
      <c r="I26" s="63">
        <v>1.2216751548709296E-5</v>
      </c>
      <c r="J26" s="63">
        <v>1.4906132109195471E-5</v>
      </c>
      <c r="K26" s="63">
        <v>1.7743143047688657E-5</v>
      </c>
      <c r="L26" s="63">
        <v>1.3407867473354043E-5</v>
      </c>
      <c r="M26" s="63">
        <v>1.6330242534924691E-5</v>
      </c>
      <c r="N26" s="63">
        <v>7.8706192905607722E-6</v>
      </c>
      <c r="O26" s="63">
        <v>1.2675705046816463E-5</v>
      </c>
      <c r="P26" s="63">
        <v>1.2858394118399476E-5</v>
      </c>
      <c r="Q26" s="63">
        <v>1.069270447366512E-5</v>
      </c>
      <c r="R26" s="63">
        <v>1.6185438047498656E-5</v>
      </c>
      <c r="S26" s="63">
        <v>1.2249670143105036E-5</v>
      </c>
      <c r="T26" s="63">
        <v>1.6022349099880853E-5</v>
      </c>
      <c r="U26" s="63">
        <v>3.0479237109887606E-5</v>
      </c>
      <c r="V26" s="64">
        <v>5.3090217928102364E-3</v>
      </c>
      <c r="W26" s="64">
        <v>3.2771369230863944E-5</v>
      </c>
      <c r="X26" s="64">
        <v>1.2772323124762057E-5</v>
      </c>
      <c r="Y26" s="64">
        <v>4.9596838884067074E-5</v>
      </c>
      <c r="Z26" s="64">
        <v>2.2092705666544686E-5</v>
      </c>
      <c r="AA26" s="64">
        <v>1.42157555876757E-5</v>
      </c>
      <c r="AB26" s="64">
        <v>3.831713786249746E-4</v>
      </c>
      <c r="AC26" s="64">
        <v>3.1837912595976307E-5</v>
      </c>
      <c r="AD26" s="64">
        <v>2.744528922505909E-5</v>
      </c>
      <c r="AE26" s="64">
        <v>2.8045820182859329E-5</v>
      </c>
      <c r="AF26" s="64">
        <v>2.2096273562515658E-5</v>
      </c>
      <c r="AG26" s="64">
        <v>1.6535425126974639E-5</v>
      </c>
      <c r="AH26" s="64">
        <v>2.5611596422357031E-5</v>
      </c>
      <c r="AI26" s="64">
        <v>2.9752966861911374E-5</v>
      </c>
      <c r="AJ26" s="64">
        <v>3.5547226496804653E-5</v>
      </c>
      <c r="AK26" s="65">
        <f t="shared" si="0"/>
        <v>6.3445498641088406E-3</v>
      </c>
    </row>
    <row r="27" spans="1:37" ht="13.5" customHeight="1">
      <c r="A27" s="44" t="s">
        <v>69</v>
      </c>
      <c r="B27" s="15" t="s">
        <v>70</v>
      </c>
      <c r="C27" s="63">
        <v>3.510055793667482E-4</v>
      </c>
      <c r="D27" s="63">
        <v>1.7644728705822819E-4</v>
      </c>
      <c r="E27" s="63">
        <v>4.5352577717797105E-4</v>
      </c>
      <c r="F27" s="63">
        <v>4.5057311177335019E-4</v>
      </c>
      <c r="G27" s="63">
        <v>3.8487306412696333E-4</v>
      </c>
      <c r="H27" s="63">
        <v>6.8007878057568265E-5</v>
      </c>
      <c r="I27" s="63">
        <v>2.5143011331412861E-4</v>
      </c>
      <c r="J27" s="63">
        <v>2.6536100415046739E-4</v>
      </c>
      <c r="K27" s="63">
        <v>2.7888017376762655E-4</v>
      </c>
      <c r="L27" s="63">
        <v>1.6232333744934383E-4</v>
      </c>
      <c r="M27" s="63">
        <v>2.4727857893966511E-4</v>
      </c>
      <c r="N27" s="63">
        <v>2.195941763206308E-4</v>
      </c>
      <c r="O27" s="63">
        <v>2.7614890035741833E-4</v>
      </c>
      <c r="P27" s="63">
        <v>2.8139854457617265E-4</v>
      </c>
      <c r="Q27" s="63">
        <v>3.2402315701370634E-4</v>
      </c>
      <c r="R27" s="63">
        <v>4.6763049293274488E-4</v>
      </c>
      <c r="S27" s="63">
        <v>2.0954506116831119E-4</v>
      </c>
      <c r="T27" s="63">
        <v>1.3809793657881811E-4</v>
      </c>
      <c r="U27" s="63">
        <v>1.9792155369238238E-4</v>
      </c>
      <c r="V27" s="64">
        <v>2.5236397116347041E-4</v>
      </c>
      <c r="W27" s="64">
        <v>3.8621895292705317E-3</v>
      </c>
      <c r="X27" s="64">
        <v>1.2014869474269339E-4</v>
      </c>
      <c r="Y27" s="64">
        <v>4.7067129344969486E-4</v>
      </c>
      <c r="Z27" s="64">
        <v>2.3160973662897412E-4</v>
      </c>
      <c r="AA27" s="64">
        <v>5.4484401976964473E-5</v>
      </c>
      <c r="AB27" s="64">
        <v>5.8084771960534492E-5</v>
      </c>
      <c r="AC27" s="64">
        <v>1.6855869686748746E-4</v>
      </c>
      <c r="AD27" s="64">
        <v>1.4607229916463512E-4</v>
      </c>
      <c r="AE27" s="64">
        <v>9.2928600069606582E-5</v>
      </c>
      <c r="AF27" s="64">
        <v>1.3229572087868757E-4</v>
      </c>
      <c r="AG27" s="64">
        <v>3.0728535893092803E-4</v>
      </c>
      <c r="AH27" s="64">
        <v>2.1101989118378349E-4</v>
      </c>
      <c r="AI27" s="64">
        <v>2.974104003610224E-4</v>
      </c>
      <c r="AJ27" s="64">
        <v>1.4058551211635834E-4</v>
      </c>
      <c r="AK27" s="65">
        <f t="shared" si="0"/>
        <v>1.1749774606587616E-2</v>
      </c>
    </row>
    <row r="28" spans="1:37" ht="13.5" customHeight="1">
      <c r="A28" s="44" t="s">
        <v>71</v>
      </c>
      <c r="B28" s="15" t="s">
        <v>42</v>
      </c>
      <c r="C28" s="63">
        <v>2.2919112509044607E-2</v>
      </c>
      <c r="D28" s="63">
        <v>8.2141125927381778E-2</v>
      </c>
      <c r="E28" s="63">
        <v>3.3041260426370768E-2</v>
      </c>
      <c r="F28" s="63">
        <v>3.1590540408656449E-2</v>
      </c>
      <c r="G28" s="63">
        <v>3.695343215820427E-2</v>
      </c>
      <c r="H28" s="63">
        <v>7.5804863027801638E-3</v>
      </c>
      <c r="I28" s="63">
        <v>2.6063614670412152E-2</v>
      </c>
      <c r="J28" s="63">
        <v>2.580660885183516E-2</v>
      </c>
      <c r="K28" s="63">
        <v>7.8985038562801882E-2</v>
      </c>
      <c r="L28" s="63">
        <v>2.3899890486201537E-2</v>
      </c>
      <c r="M28" s="63">
        <v>2.7899673811459615E-2</v>
      </c>
      <c r="N28" s="63">
        <v>1.3968796320009689E-2</v>
      </c>
      <c r="O28" s="63">
        <v>2.0036143656378805E-2</v>
      </c>
      <c r="P28" s="63">
        <v>2.4696281920149814E-2</v>
      </c>
      <c r="Q28" s="63">
        <v>2.0744731993222385E-2</v>
      </c>
      <c r="R28" s="63">
        <v>3.4383617930726355E-2</v>
      </c>
      <c r="S28" s="63">
        <v>1.7854597538964786E-2</v>
      </c>
      <c r="T28" s="63">
        <v>6.6985437856450416E-3</v>
      </c>
      <c r="U28" s="63">
        <v>4.5911491609016336E-2</v>
      </c>
      <c r="V28" s="64">
        <v>2.1973936358027246E-2</v>
      </c>
      <c r="W28" s="64">
        <v>4.443389968768733E-2</v>
      </c>
      <c r="X28" s="64">
        <v>0.49877345475514762</v>
      </c>
      <c r="Y28" s="64">
        <v>2.4441530358448198E-2</v>
      </c>
      <c r="Z28" s="64">
        <v>1.0400785729815567E-2</v>
      </c>
      <c r="AA28" s="64">
        <v>4.8689790048645218E-3</v>
      </c>
      <c r="AB28" s="64">
        <v>5.6452671366748483E-3</v>
      </c>
      <c r="AC28" s="64">
        <v>1.3855363105384507E-2</v>
      </c>
      <c r="AD28" s="64">
        <v>1.475178648618506E-2</v>
      </c>
      <c r="AE28" s="64">
        <v>1.0178466553600142E-2</v>
      </c>
      <c r="AF28" s="64">
        <v>8.3036948389585193E-3</v>
      </c>
      <c r="AG28" s="64">
        <v>1.2430708667340357E-2</v>
      </c>
      <c r="AH28" s="64">
        <v>1.1621519925397231E-2</v>
      </c>
      <c r="AI28" s="64">
        <v>1.8212100808940309E-2</v>
      </c>
      <c r="AJ28" s="64">
        <v>3.0704626548622788E-2</v>
      </c>
      <c r="AK28" s="65">
        <f t="shared" si="0"/>
        <v>1.311771108834356</v>
      </c>
    </row>
    <row r="29" spans="1:37" ht="13.5" customHeight="1">
      <c r="A29" s="44" t="s">
        <v>72</v>
      </c>
      <c r="B29" s="15" t="s">
        <v>15</v>
      </c>
      <c r="C29" s="63">
        <v>1.7563363702079288E-4</v>
      </c>
      <c r="D29" s="63">
        <v>3.6593783072411926E-4</v>
      </c>
      <c r="E29" s="63">
        <v>2.054152052326266E-4</v>
      </c>
      <c r="F29" s="63">
        <v>2.3117896241809757E-4</v>
      </c>
      <c r="G29" s="63">
        <v>2.6784436400844068E-4</v>
      </c>
      <c r="H29" s="63">
        <v>5.1288526807835318E-5</v>
      </c>
      <c r="I29" s="63">
        <v>1.6490661933168783E-4</v>
      </c>
      <c r="J29" s="63">
        <v>1.7438294005970629E-4</v>
      </c>
      <c r="K29" s="63">
        <v>2.4540126267551563E-4</v>
      </c>
      <c r="L29" s="63">
        <v>1.4765101325063057E-4</v>
      </c>
      <c r="M29" s="63">
        <v>2.3246351107847032E-4</v>
      </c>
      <c r="N29" s="63">
        <v>1.3898807654590434E-4</v>
      </c>
      <c r="O29" s="63">
        <v>1.6329271940659912E-4</v>
      </c>
      <c r="P29" s="63">
        <v>2.3477209201251334E-4</v>
      </c>
      <c r="Q29" s="63">
        <v>1.9292824834235556E-4</v>
      </c>
      <c r="R29" s="63">
        <v>2.6911906927313916E-4</v>
      </c>
      <c r="S29" s="63">
        <v>4.2907333642916423E-4</v>
      </c>
      <c r="T29" s="63">
        <v>8.0916586460934092E-5</v>
      </c>
      <c r="U29" s="63">
        <v>3.1476498307334109E-4</v>
      </c>
      <c r="V29" s="64">
        <v>1.8472539650216745E-4</v>
      </c>
      <c r="W29" s="64">
        <v>5.2648802048144193E-4</v>
      </c>
      <c r="X29" s="64">
        <v>1.8052435347608111E-4</v>
      </c>
      <c r="Y29" s="64">
        <v>1.0292482748231408E-2</v>
      </c>
      <c r="Z29" s="64">
        <v>2.7699440729432524E-4</v>
      </c>
      <c r="AA29" s="64">
        <v>2.8696163388233613E-4</v>
      </c>
      <c r="AB29" s="64">
        <v>1.7745424812632009E-4</v>
      </c>
      <c r="AC29" s="64">
        <v>4.8354605008325434E-4</v>
      </c>
      <c r="AD29" s="64">
        <v>4.4019523986983455E-4</v>
      </c>
      <c r="AE29" s="64">
        <v>3.3572895412631261E-4</v>
      </c>
      <c r="AF29" s="64">
        <v>3.4829786761181346E-4</v>
      </c>
      <c r="AG29" s="64">
        <v>3.4504907583768975E-4</v>
      </c>
      <c r="AH29" s="64">
        <v>4.6947853841700332E-4</v>
      </c>
      <c r="AI29" s="64">
        <v>7.3742171367540386E-4</v>
      </c>
      <c r="AJ29" s="64">
        <v>3.3636848010720933E-4</v>
      </c>
      <c r="AK29" s="65">
        <f t="shared" si="0"/>
        <v>1.9507675711874478E-2</v>
      </c>
    </row>
    <row r="30" spans="1:37" ht="13.5" customHeight="1">
      <c r="A30" s="44" t="s">
        <v>73</v>
      </c>
      <c r="B30" s="15" t="s">
        <v>16</v>
      </c>
      <c r="C30" s="63">
        <v>6.602948488445461E-6</v>
      </c>
      <c r="D30" s="63">
        <v>9.7454339340246931E-6</v>
      </c>
      <c r="E30" s="63">
        <v>8.6240571357569927E-6</v>
      </c>
      <c r="F30" s="63">
        <v>7.5491815469424303E-6</v>
      </c>
      <c r="G30" s="63">
        <v>1.055836153240486E-5</v>
      </c>
      <c r="H30" s="63">
        <v>3.2297963426573578E-6</v>
      </c>
      <c r="I30" s="63">
        <v>6.8473596160188057E-6</v>
      </c>
      <c r="J30" s="63">
        <v>6.9804421044449917E-6</v>
      </c>
      <c r="K30" s="63">
        <v>9.1514383152565582E-6</v>
      </c>
      <c r="L30" s="63">
        <v>6.3184688669043145E-6</v>
      </c>
      <c r="M30" s="63">
        <v>8.4447619595394742E-6</v>
      </c>
      <c r="N30" s="63">
        <v>6.3339959621843137E-6</v>
      </c>
      <c r="O30" s="63">
        <v>7.0705323453887816E-6</v>
      </c>
      <c r="P30" s="63">
        <v>8.4711343218647905E-6</v>
      </c>
      <c r="Q30" s="63">
        <v>7.8561239152037467E-6</v>
      </c>
      <c r="R30" s="63">
        <v>1.2802627227482242E-5</v>
      </c>
      <c r="S30" s="63">
        <v>9.1831855348300735E-6</v>
      </c>
      <c r="T30" s="63">
        <v>3.219389227512524E-6</v>
      </c>
      <c r="U30" s="63">
        <v>1.4145191706638915E-5</v>
      </c>
      <c r="V30" s="64">
        <v>9.0108253300491156E-6</v>
      </c>
      <c r="W30" s="64">
        <v>2.0133812283431376E-5</v>
      </c>
      <c r="X30" s="64">
        <v>9.798832091719605E-6</v>
      </c>
      <c r="Y30" s="64">
        <v>1.2651211177631788E-5</v>
      </c>
      <c r="Z30" s="64">
        <v>5.3709004801812588E-4</v>
      </c>
      <c r="AA30" s="64">
        <v>2.805122812529102E-5</v>
      </c>
      <c r="AB30" s="64">
        <v>7.3078162658121205E-6</v>
      </c>
      <c r="AC30" s="64">
        <v>3.9416469378131269E-5</v>
      </c>
      <c r="AD30" s="64">
        <v>1.5172176155783579E-5</v>
      </c>
      <c r="AE30" s="64">
        <v>1.3284836684908441E-5</v>
      </c>
      <c r="AF30" s="64">
        <v>1.9209944213726163E-5</v>
      </c>
      <c r="AG30" s="64">
        <v>7.9566629660466759E-6</v>
      </c>
      <c r="AH30" s="64">
        <v>3.8324724931051644E-5</v>
      </c>
      <c r="AI30" s="64">
        <v>1.6164923567682668E-5</v>
      </c>
      <c r="AJ30" s="64">
        <v>1.6499154290446764E-5</v>
      </c>
      <c r="AK30" s="65">
        <f t="shared" si="0"/>
        <v>9.432070955633393E-4</v>
      </c>
    </row>
    <row r="31" spans="1:37" ht="13.5" customHeight="1">
      <c r="A31" s="44" t="s">
        <v>74</v>
      </c>
      <c r="B31" s="15" t="s">
        <v>17</v>
      </c>
      <c r="C31" s="63">
        <v>1.9100497511504562E-5</v>
      </c>
      <c r="D31" s="63">
        <v>1.6786296738609391E-5</v>
      </c>
      <c r="E31" s="63">
        <v>1.7998376146482999E-5</v>
      </c>
      <c r="F31" s="63">
        <v>1.9195022358309152E-5</v>
      </c>
      <c r="G31" s="63">
        <v>2.0938551652970573E-5</v>
      </c>
      <c r="H31" s="63">
        <v>6.8417063147520889E-6</v>
      </c>
      <c r="I31" s="63">
        <v>1.485318570253794E-5</v>
      </c>
      <c r="J31" s="63">
        <v>1.6683460257231645E-5</v>
      </c>
      <c r="K31" s="63">
        <v>1.926102076519227E-5</v>
      </c>
      <c r="L31" s="63">
        <v>1.2561300019156109E-5</v>
      </c>
      <c r="M31" s="63">
        <v>1.8469339606860244E-5</v>
      </c>
      <c r="N31" s="63">
        <v>1.1959073649807853E-5</v>
      </c>
      <c r="O31" s="63">
        <v>1.4948092799057143E-5</v>
      </c>
      <c r="P31" s="63">
        <v>1.9538080625282978E-5</v>
      </c>
      <c r="Q31" s="63">
        <v>1.7008305158827614E-5</v>
      </c>
      <c r="R31" s="63">
        <v>1.9528132251967292E-5</v>
      </c>
      <c r="S31" s="63">
        <v>1.2790655182966768E-5</v>
      </c>
      <c r="T31" s="63">
        <v>1.0939176579154312E-5</v>
      </c>
      <c r="U31" s="63">
        <v>2.0529544595206919E-5</v>
      </c>
      <c r="V31" s="64">
        <v>1.8111768681509649E-5</v>
      </c>
      <c r="W31" s="64">
        <v>2.4805044644947411E-5</v>
      </c>
      <c r="X31" s="64">
        <v>1.3762580976039805E-5</v>
      </c>
      <c r="Y31" s="64">
        <v>2.3873733514610668E-5</v>
      </c>
      <c r="Z31" s="64">
        <v>1.4164677322120227E-5</v>
      </c>
      <c r="AA31" s="64">
        <v>6.9344028015274055E-4</v>
      </c>
      <c r="AB31" s="64">
        <v>5.7052438298547611E-5</v>
      </c>
      <c r="AC31" s="64">
        <v>1.4562095752918571E-5</v>
      </c>
      <c r="AD31" s="64">
        <v>1.3781972566186961E-5</v>
      </c>
      <c r="AE31" s="64">
        <v>1.7573341946291309E-5</v>
      </c>
      <c r="AF31" s="64">
        <v>1.956880219703858E-5</v>
      </c>
      <c r="AG31" s="64">
        <v>2.0471090613681547E-5</v>
      </c>
      <c r="AH31" s="64">
        <v>1.936531896696758E-5</v>
      </c>
      <c r="AI31" s="64">
        <v>2.480949649136041E-5</v>
      </c>
      <c r="AJ31" s="64">
        <v>1.7358601258033977E-5</v>
      </c>
      <c r="AK31" s="65">
        <f t="shared" si="0"/>
        <v>1.3026310612988721E-3</v>
      </c>
    </row>
    <row r="32" spans="1:37" ht="13.5" customHeight="1">
      <c r="A32" s="44" t="s">
        <v>75</v>
      </c>
      <c r="B32" s="15" t="s">
        <v>76</v>
      </c>
      <c r="C32" s="63">
        <v>8.9615722729414416E-6</v>
      </c>
      <c r="D32" s="63">
        <v>1.0829171369055874E-5</v>
      </c>
      <c r="E32" s="63">
        <v>1.310511041821717E-5</v>
      </c>
      <c r="F32" s="63">
        <v>1.4390236400246136E-5</v>
      </c>
      <c r="G32" s="63">
        <v>1.4194175257310122E-5</v>
      </c>
      <c r="H32" s="63">
        <v>3.0022919050620979E-6</v>
      </c>
      <c r="I32" s="63">
        <v>8.9293065252519398E-6</v>
      </c>
      <c r="J32" s="63">
        <v>9.2325773610137794E-6</v>
      </c>
      <c r="K32" s="63">
        <v>1.1377234073028185E-5</v>
      </c>
      <c r="L32" s="63">
        <v>7.3545041455980524E-6</v>
      </c>
      <c r="M32" s="63">
        <v>1.0079955058349318E-5</v>
      </c>
      <c r="N32" s="63">
        <v>7.2074333433136844E-6</v>
      </c>
      <c r="O32" s="63">
        <v>9.864828394059135E-6</v>
      </c>
      <c r="P32" s="63">
        <v>1.0257278387655452E-5</v>
      </c>
      <c r="Q32" s="63">
        <v>1.0306303088426602E-5</v>
      </c>
      <c r="R32" s="63">
        <v>1.6797464492901579E-5</v>
      </c>
      <c r="S32" s="63">
        <v>1.3599304352961387E-5</v>
      </c>
      <c r="T32" s="63">
        <v>4.2367210850671534E-6</v>
      </c>
      <c r="U32" s="63">
        <v>2.1757463224424749E-5</v>
      </c>
      <c r="V32" s="64">
        <v>1.083770667047992E-5</v>
      </c>
      <c r="W32" s="64">
        <v>5.3734755774110522E-5</v>
      </c>
      <c r="X32" s="64">
        <v>1.3371249712359422E-5</v>
      </c>
      <c r="Y32" s="64">
        <v>5.4149404550298445E-5</v>
      </c>
      <c r="Z32" s="64">
        <v>1.8144831401597695E-5</v>
      </c>
      <c r="AA32" s="64">
        <v>2.2405582800552999E-5</v>
      </c>
      <c r="AB32" s="64">
        <v>9.0029711086992651E-4</v>
      </c>
      <c r="AC32" s="64">
        <v>3.2203480456323811E-5</v>
      </c>
      <c r="AD32" s="64">
        <v>2.1567563631030068E-5</v>
      </c>
      <c r="AE32" s="64">
        <v>6.9793017037085407E-6</v>
      </c>
      <c r="AF32" s="64">
        <v>2.9086155048220755E-5</v>
      </c>
      <c r="AG32" s="64">
        <v>2.4566804857280519E-5</v>
      </c>
      <c r="AH32" s="64">
        <v>1.7939840879990454E-5</v>
      </c>
      <c r="AI32" s="64">
        <v>3.1130425220825377E-5</v>
      </c>
      <c r="AJ32" s="64">
        <v>8.6486820814789281E-6</v>
      </c>
      <c r="AK32" s="65">
        <f t="shared" si="0"/>
        <v>1.450545826813068E-3</v>
      </c>
    </row>
    <row r="33" spans="1:37" ht="13.5" customHeight="1">
      <c r="A33" s="44" t="s">
        <v>77</v>
      </c>
      <c r="B33" s="15" t="s">
        <v>43</v>
      </c>
      <c r="C33" s="63">
        <v>2.7951538838389594E-4</v>
      </c>
      <c r="D33" s="63">
        <v>4.5130690374814653E-4</v>
      </c>
      <c r="E33" s="63">
        <v>4.9968786038670932E-4</v>
      </c>
      <c r="F33" s="63">
        <v>3.1108754273725996E-4</v>
      </c>
      <c r="G33" s="63">
        <v>3.6045526326214416E-4</v>
      </c>
      <c r="H33" s="63">
        <v>1.3793716728360307E-4</v>
      </c>
      <c r="I33" s="63">
        <v>4.1774548205493554E-4</v>
      </c>
      <c r="J33" s="63">
        <v>4.0521533603162614E-4</v>
      </c>
      <c r="K33" s="63">
        <v>4.5371389518580028E-4</v>
      </c>
      <c r="L33" s="63">
        <v>3.2478845292876265E-4</v>
      </c>
      <c r="M33" s="63">
        <v>3.7302460481075786E-4</v>
      </c>
      <c r="N33" s="63">
        <v>2.7320971100254894E-4</v>
      </c>
      <c r="O33" s="63">
        <v>3.7809007892646354E-4</v>
      </c>
      <c r="P33" s="63">
        <v>4.1540747612663938E-4</v>
      </c>
      <c r="Q33" s="63">
        <v>4.1325210356427312E-4</v>
      </c>
      <c r="R33" s="63">
        <v>4.7021963756912837E-4</v>
      </c>
      <c r="S33" s="63">
        <v>3.9301409426833821E-4</v>
      </c>
      <c r="T33" s="63">
        <v>1.5493476791010713E-4</v>
      </c>
      <c r="U33" s="63">
        <v>5.6750056652348597E-4</v>
      </c>
      <c r="V33" s="64">
        <v>6.3497433406001593E-4</v>
      </c>
      <c r="W33" s="64">
        <v>4.0101190848686674E-4</v>
      </c>
      <c r="X33" s="64">
        <v>2.9068858790426091E-4</v>
      </c>
      <c r="Y33" s="64">
        <v>3.6038655421989163E-4</v>
      </c>
      <c r="Z33" s="64">
        <v>4.2290050625558534E-4</v>
      </c>
      <c r="AA33" s="64">
        <v>2.2024823398596587E-4</v>
      </c>
      <c r="AB33" s="64">
        <v>1.9089712321859601E-4</v>
      </c>
      <c r="AC33" s="64">
        <v>5.7927754251089932E-3</v>
      </c>
      <c r="AD33" s="64">
        <v>3.6452258946811765E-4</v>
      </c>
      <c r="AE33" s="64">
        <v>1.5746331268853567E-4</v>
      </c>
      <c r="AF33" s="64">
        <v>2.6059470971109583E-4</v>
      </c>
      <c r="AG33" s="64">
        <v>1.6534342424603647E-4</v>
      </c>
      <c r="AH33" s="64">
        <v>2.4947872963462228E-4</v>
      </c>
      <c r="AI33" s="64">
        <v>3.4029743052608135E-4</v>
      </c>
      <c r="AJ33" s="64">
        <v>1.8805876720809971E-4</v>
      </c>
      <c r="AK33" s="65">
        <f t="shared" si="0"/>
        <v>1.7119747969427387E-2</v>
      </c>
    </row>
    <row r="34" spans="1:37" ht="13.5" customHeight="1">
      <c r="A34" s="44" t="s">
        <v>78</v>
      </c>
      <c r="B34" s="15" t="s">
        <v>18</v>
      </c>
      <c r="C34" s="63">
        <v>1.8260275862565662E-5</v>
      </c>
      <c r="D34" s="63">
        <v>7.9269552929440477E-5</v>
      </c>
      <c r="E34" s="63">
        <v>2.6950590723155732E-5</v>
      </c>
      <c r="F34" s="63">
        <v>2.8909081484954662E-5</v>
      </c>
      <c r="G34" s="63">
        <v>3.604256216793579E-5</v>
      </c>
      <c r="H34" s="63">
        <v>9.3594024530556865E-6</v>
      </c>
      <c r="I34" s="63">
        <v>2.1997056171640472E-5</v>
      </c>
      <c r="J34" s="63">
        <v>2.4009878676635439E-5</v>
      </c>
      <c r="K34" s="63">
        <v>3.681594289253333E-5</v>
      </c>
      <c r="L34" s="63">
        <v>2.873234087580466E-5</v>
      </c>
      <c r="M34" s="63">
        <v>3.3654988924062838E-5</v>
      </c>
      <c r="N34" s="63">
        <v>2.3633368506624262E-5</v>
      </c>
      <c r="O34" s="63">
        <v>2.431175887224978E-5</v>
      </c>
      <c r="P34" s="63">
        <v>2.8405125343808873E-5</v>
      </c>
      <c r="Q34" s="63">
        <v>3.8059379505283403E-5</v>
      </c>
      <c r="R34" s="63">
        <v>3.3963485079176425E-5</v>
      </c>
      <c r="S34" s="63">
        <v>7.1441308141203738E-5</v>
      </c>
      <c r="T34" s="63">
        <v>1.8166781733074302E-5</v>
      </c>
      <c r="U34" s="63">
        <v>6.1238828286353254E-5</v>
      </c>
      <c r="V34" s="64">
        <v>5.3290873173098489E-5</v>
      </c>
      <c r="W34" s="64">
        <v>4.7877051109489114E-5</v>
      </c>
      <c r="X34" s="64">
        <v>5.2618335618154697E-5</v>
      </c>
      <c r="Y34" s="64">
        <v>3.1156392746281451E-5</v>
      </c>
      <c r="Z34" s="64">
        <v>6.3494191870047125E-5</v>
      </c>
      <c r="AA34" s="64">
        <v>5.9173112427885087E-5</v>
      </c>
      <c r="AB34" s="64">
        <v>6.4509253239885552E-5</v>
      </c>
      <c r="AC34" s="64">
        <v>6.9370383959398857E-5</v>
      </c>
      <c r="AD34" s="64">
        <v>1.1882588914133485E-3</v>
      </c>
      <c r="AE34" s="64">
        <v>3.8302387246106228E-5</v>
      </c>
      <c r="AF34" s="64">
        <v>4.1154088377098031E-5</v>
      </c>
      <c r="AG34" s="64">
        <v>2.886342876779549E-5</v>
      </c>
      <c r="AH34" s="64">
        <v>7.3192539054469356E-5</v>
      </c>
      <c r="AI34" s="64">
        <v>3.2557386504709518E-5</v>
      </c>
      <c r="AJ34" s="64">
        <v>3.9768127871811551E-5</v>
      </c>
      <c r="AK34" s="65">
        <f t="shared" si="0"/>
        <v>2.5268081520091377E-3</v>
      </c>
    </row>
    <row r="35" spans="1:37" ht="13.5" customHeight="1">
      <c r="A35" s="44" t="s">
        <v>79</v>
      </c>
      <c r="B35" s="15" t="s">
        <v>80</v>
      </c>
      <c r="C35" s="63">
        <v>1.2868871318533079E-4</v>
      </c>
      <c r="D35" s="63">
        <v>1.1228944126927501E-4</v>
      </c>
      <c r="E35" s="63">
        <v>6.4493948080103473E-5</v>
      </c>
      <c r="F35" s="63">
        <v>4.1301406307232735E-5</v>
      </c>
      <c r="G35" s="63">
        <v>7.7106401435245576E-5</v>
      </c>
      <c r="H35" s="63">
        <v>2.8580972016722914E-5</v>
      </c>
      <c r="I35" s="63">
        <v>8.9253428078117354E-5</v>
      </c>
      <c r="J35" s="63">
        <v>9.0332699322304778E-5</v>
      </c>
      <c r="K35" s="63">
        <v>5.3168398908398951E-5</v>
      </c>
      <c r="L35" s="63">
        <v>2.6594509884712963E-5</v>
      </c>
      <c r="M35" s="63">
        <v>5.9462620624824855E-5</v>
      </c>
      <c r="N35" s="63">
        <v>2.7815544778978839E-5</v>
      </c>
      <c r="O35" s="63">
        <v>3.5655466317385114E-5</v>
      </c>
      <c r="P35" s="63">
        <v>4.8988223548664618E-5</v>
      </c>
      <c r="Q35" s="63">
        <v>3.4254363496892784E-5</v>
      </c>
      <c r="R35" s="63">
        <v>5.9105315357004545E-5</v>
      </c>
      <c r="S35" s="63">
        <v>1.557090357436042E-4</v>
      </c>
      <c r="T35" s="63">
        <v>3.8840687549076382E-5</v>
      </c>
      <c r="U35" s="63">
        <v>5.4732392779032705E-5</v>
      </c>
      <c r="V35" s="64">
        <v>2.9681630004273582E-5</v>
      </c>
      <c r="W35" s="64">
        <v>5.6329925253796298E-5</v>
      </c>
      <c r="X35" s="64">
        <v>6.0370467841491187E-5</v>
      </c>
      <c r="Y35" s="64">
        <v>6.9626093405806622E-5</v>
      </c>
      <c r="Z35" s="64">
        <v>7.3359585152828942E-5</v>
      </c>
      <c r="AA35" s="64">
        <v>2.0036635330916158E-5</v>
      </c>
      <c r="AB35" s="64">
        <v>6.3257500975299189E-5</v>
      </c>
      <c r="AC35" s="64">
        <v>4.1849194462524783E-5</v>
      </c>
      <c r="AD35" s="64">
        <v>5.2858711273310907E-5</v>
      </c>
      <c r="AE35" s="64">
        <v>2.9717570002242261E-2</v>
      </c>
      <c r="AF35" s="64">
        <v>2.3608284695874861E-5</v>
      </c>
      <c r="AG35" s="64">
        <v>6.7780308800730746E-5</v>
      </c>
      <c r="AH35" s="64">
        <v>6.4925817699463674E-5</v>
      </c>
      <c r="AI35" s="64">
        <v>4.3998118125545635E-5</v>
      </c>
      <c r="AJ35" s="64">
        <v>2.6188647831241193E-2</v>
      </c>
      <c r="AK35" s="65">
        <f t="shared" si="0"/>
        <v>5.7800273675188224E-2</v>
      </c>
    </row>
    <row r="36" spans="1:37" ht="13.5" customHeight="1">
      <c r="A36" s="44" t="s">
        <v>81</v>
      </c>
      <c r="B36" s="15" t="s">
        <v>19</v>
      </c>
      <c r="C36" s="63">
        <v>8.9099312159512979E-6</v>
      </c>
      <c r="D36" s="63">
        <v>1.2766999702066462E-5</v>
      </c>
      <c r="E36" s="63">
        <v>1.4626275016138564E-5</v>
      </c>
      <c r="F36" s="63">
        <v>1.3982214601003569E-5</v>
      </c>
      <c r="G36" s="63">
        <v>1.7792937111651324E-5</v>
      </c>
      <c r="H36" s="63">
        <v>5.2703138639104022E-6</v>
      </c>
      <c r="I36" s="63">
        <v>1.3925177114323007E-5</v>
      </c>
      <c r="J36" s="63">
        <v>1.5182009662959129E-5</v>
      </c>
      <c r="K36" s="63">
        <v>1.6672919121428695E-5</v>
      </c>
      <c r="L36" s="63">
        <v>1.3831000641201466E-5</v>
      </c>
      <c r="M36" s="63">
        <v>2.3731194037570689E-5</v>
      </c>
      <c r="N36" s="63">
        <v>1.2045887173585937E-5</v>
      </c>
      <c r="O36" s="63">
        <v>1.716847620065678E-5</v>
      </c>
      <c r="P36" s="63">
        <v>2.2132344027032882E-5</v>
      </c>
      <c r="Q36" s="63">
        <v>1.5640203131114908E-5</v>
      </c>
      <c r="R36" s="63">
        <v>1.6606024679972899E-5</v>
      </c>
      <c r="S36" s="63">
        <v>4.9975476989654035E-5</v>
      </c>
      <c r="T36" s="63">
        <v>6.5564895191873743E-6</v>
      </c>
      <c r="U36" s="63">
        <v>1.8250386723189621E-5</v>
      </c>
      <c r="V36" s="64">
        <v>1.3871713919555217E-5</v>
      </c>
      <c r="W36" s="64">
        <v>3.8852396863020013E-5</v>
      </c>
      <c r="X36" s="64">
        <v>9.988223131846787E-6</v>
      </c>
      <c r="Y36" s="64">
        <v>1.6946449653536573E-5</v>
      </c>
      <c r="Z36" s="64">
        <v>1.7392523711930111E-5</v>
      </c>
      <c r="AA36" s="64">
        <v>2.8673155209670503E-5</v>
      </c>
      <c r="AB36" s="64">
        <v>1.5148190506001988E-5</v>
      </c>
      <c r="AC36" s="64">
        <v>2.4557613552877299E-5</v>
      </c>
      <c r="AD36" s="64">
        <v>1.489747204742483E-5</v>
      </c>
      <c r="AE36" s="64">
        <v>4.3868748977202111E-6</v>
      </c>
      <c r="AF36" s="64">
        <v>1.4199076891136994E-2</v>
      </c>
      <c r="AG36" s="64">
        <v>8.5745181263655114E-6</v>
      </c>
      <c r="AH36" s="64">
        <v>1.1915314366701384E-5</v>
      </c>
      <c r="AI36" s="64">
        <v>2.5762557575173883E-5</v>
      </c>
      <c r="AJ36" s="64">
        <v>7.5963110439152919E-6</v>
      </c>
      <c r="AK36" s="65">
        <f t="shared" si="0"/>
        <v>1.4752706466275332E-2</v>
      </c>
    </row>
    <row r="37" spans="1:37" ht="13.5" customHeight="1">
      <c r="A37" s="44" t="s">
        <v>82</v>
      </c>
      <c r="B37" s="15" t="s">
        <v>83</v>
      </c>
      <c r="C37" s="63">
        <v>1.8929867837643742E-5</v>
      </c>
      <c r="D37" s="63">
        <v>3.3012520840673672E-5</v>
      </c>
      <c r="E37" s="63">
        <v>1.9270494940898348E-5</v>
      </c>
      <c r="F37" s="63">
        <v>1.7368848862934609E-5</v>
      </c>
      <c r="G37" s="63">
        <v>2.3209303580554467E-5</v>
      </c>
      <c r="H37" s="63">
        <v>4.2023768937153639E-6</v>
      </c>
      <c r="I37" s="63">
        <v>1.3405187657734215E-5</v>
      </c>
      <c r="J37" s="63">
        <v>1.4657313830575812E-5</v>
      </c>
      <c r="K37" s="63">
        <v>1.989368377870312E-5</v>
      </c>
      <c r="L37" s="63">
        <v>1.2847812858960705E-5</v>
      </c>
      <c r="M37" s="63">
        <v>2.2249900392745422E-5</v>
      </c>
      <c r="N37" s="63">
        <v>1.1124560265112729E-5</v>
      </c>
      <c r="O37" s="63">
        <v>1.5566051005520062E-5</v>
      </c>
      <c r="P37" s="63">
        <v>2.2437913484840249E-5</v>
      </c>
      <c r="Q37" s="63">
        <v>2.0145265985311631E-5</v>
      </c>
      <c r="R37" s="63">
        <v>2.2328048462400292E-5</v>
      </c>
      <c r="S37" s="63">
        <v>2.9267057561683616E-5</v>
      </c>
      <c r="T37" s="63">
        <v>6.1237679963045753E-6</v>
      </c>
      <c r="U37" s="63">
        <v>3.9365593914746037E-5</v>
      </c>
      <c r="V37" s="64">
        <v>2.085833457848357E-5</v>
      </c>
      <c r="W37" s="64">
        <v>3.5753928341689947E-5</v>
      </c>
      <c r="X37" s="64">
        <v>1.1850776348684202E-5</v>
      </c>
      <c r="Y37" s="64">
        <v>3.1029947887555262E-5</v>
      </c>
      <c r="Z37" s="64">
        <v>2.0256901633426432E-5</v>
      </c>
      <c r="AA37" s="64">
        <v>2.2936356904370131E-5</v>
      </c>
      <c r="AB37" s="64">
        <v>1.3124882590594018E-5</v>
      </c>
      <c r="AC37" s="64">
        <v>2.7180114755225786E-5</v>
      </c>
      <c r="AD37" s="64">
        <v>2.354333447960426E-5</v>
      </c>
      <c r="AE37" s="64">
        <v>7.8852554706567107E-6</v>
      </c>
      <c r="AF37" s="64">
        <v>2.2399905582726307E-5</v>
      </c>
      <c r="AG37" s="64">
        <v>8.2560959320591883E-3</v>
      </c>
      <c r="AH37" s="64">
        <v>3.5481413947885146E-5</v>
      </c>
      <c r="AI37" s="64">
        <v>2.7855850688680462E-5</v>
      </c>
      <c r="AJ37" s="64">
        <v>1.0383597035400233E-5</v>
      </c>
      <c r="AK37" s="65">
        <f t="shared" si="0"/>
        <v>8.9320421024552295E-3</v>
      </c>
    </row>
    <row r="38" spans="1:37" ht="13.5" customHeight="1">
      <c r="A38" s="44" t="s">
        <v>84</v>
      </c>
      <c r="B38" s="15" t="s">
        <v>85</v>
      </c>
      <c r="C38" s="63">
        <v>1.3772002881127416E-5</v>
      </c>
      <c r="D38" s="63">
        <v>5.4046538031886483E-5</v>
      </c>
      <c r="E38" s="63">
        <v>1.6524965642585028E-5</v>
      </c>
      <c r="F38" s="63">
        <v>1.8712101350146117E-5</v>
      </c>
      <c r="G38" s="63">
        <v>2.3410923755685363E-5</v>
      </c>
      <c r="H38" s="63">
        <v>5.3166474749777311E-6</v>
      </c>
      <c r="I38" s="63">
        <v>1.450453590395199E-5</v>
      </c>
      <c r="J38" s="63">
        <v>1.535392323474858E-5</v>
      </c>
      <c r="K38" s="63">
        <v>2.4246545415719951E-5</v>
      </c>
      <c r="L38" s="63">
        <v>1.7404210244409079E-5</v>
      </c>
      <c r="M38" s="63">
        <v>2.4004279289778356E-5</v>
      </c>
      <c r="N38" s="63">
        <v>9.5354344345277917E-6</v>
      </c>
      <c r="O38" s="63">
        <v>1.4638274598480559E-5</v>
      </c>
      <c r="P38" s="63">
        <v>2.0461259779130979E-5</v>
      </c>
      <c r="Q38" s="63">
        <v>1.4162802269541252E-5</v>
      </c>
      <c r="R38" s="63">
        <v>2.0717095375777427E-5</v>
      </c>
      <c r="S38" s="63">
        <v>2.8585677343136452E-5</v>
      </c>
      <c r="T38" s="63">
        <v>6.2679600649202885E-6</v>
      </c>
      <c r="U38" s="63">
        <v>3.0820575703267501E-5</v>
      </c>
      <c r="V38" s="64">
        <v>1.7744110771222325E-5</v>
      </c>
      <c r="W38" s="64">
        <v>1.6323496347071662E-5</v>
      </c>
      <c r="X38" s="64">
        <v>2.524565732955354E-5</v>
      </c>
      <c r="Y38" s="64">
        <v>1.5080069687778002E-5</v>
      </c>
      <c r="Z38" s="64">
        <v>6.0348761029045743E-5</v>
      </c>
      <c r="AA38" s="64">
        <v>2.6229692928878761E-5</v>
      </c>
      <c r="AB38" s="64">
        <v>1.2814207767557456E-5</v>
      </c>
      <c r="AC38" s="64">
        <v>4.4170130697928031E-5</v>
      </c>
      <c r="AD38" s="64">
        <v>3.1467590838042861E-5</v>
      </c>
      <c r="AE38" s="64">
        <v>9.6398520580616769E-6</v>
      </c>
      <c r="AF38" s="64">
        <v>5.0392321709507817E-5</v>
      </c>
      <c r="AG38" s="64">
        <v>1.572734518245292E-5</v>
      </c>
      <c r="AH38" s="64">
        <v>5.9996326776038632E-3</v>
      </c>
      <c r="AI38" s="64">
        <v>3.6645045454305032E-5</v>
      </c>
      <c r="AJ38" s="64">
        <v>1.3041308777820049E-5</v>
      </c>
      <c r="AK38" s="65">
        <f t="shared" si="0"/>
        <v>6.7469880209768884E-3</v>
      </c>
    </row>
    <row r="39" spans="1:37" ht="13.5" customHeight="1">
      <c r="A39" s="44" t="s">
        <v>86</v>
      </c>
      <c r="B39" s="15" t="s">
        <v>87</v>
      </c>
      <c r="C39" s="63">
        <v>2.3343006080879822E-5</v>
      </c>
      <c r="D39" s="63">
        <v>5.9232521914056391E-5</v>
      </c>
      <c r="E39" s="63">
        <v>3.2336847837182957E-5</v>
      </c>
      <c r="F39" s="63">
        <v>2.9222190631186325E-5</v>
      </c>
      <c r="G39" s="63">
        <v>3.4024537415066988E-5</v>
      </c>
      <c r="H39" s="63">
        <v>9.3418305264763282E-6</v>
      </c>
      <c r="I39" s="63">
        <v>2.2135474115054925E-5</v>
      </c>
      <c r="J39" s="63">
        <v>2.3085859287585429E-5</v>
      </c>
      <c r="K39" s="63">
        <v>4.6337167805091078E-5</v>
      </c>
      <c r="L39" s="63">
        <v>2.6602548959138144E-5</v>
      </c>
      <c r="M39" s="63">
        <v>3.605333608103752E-5</v>
      </c>
      <c r="N39" s="63">
        <v>1.9269186617725038E-5</v>
      </c>
      <c r="O39" s="63">
        <v>2.6564320026885982E-5</v>
      </c>
      <c r="P39" s="63">
        <v>3.4039396911527182E-5</v>
      </c>
      <c r="Q39" s="63">
        <v>2.7596747412827726E-5</v>
      </c>
      <c r="R39" s="63">
        <v>3.2637100198117374E-5</v>
      </c>
      <c r="S39" s="63">
        <v>5.4718590939951432E-5</v>
      </c>
      <c r="T39" s="63">
        <v>9.2366352624320182E-6</v>
      </c>
      <c r="U39" s="63">
        <v>6.9722085399164446E-5</v>
      </c>
      <c r="V39" s="64">
        <v>3.0935451667000643E-5</v>
      </c>
      <c r="W39" s="64">
        <v>6.1472925689290653E-5</v>
      </c>
      <c r="X39" s="64">
        <v>9.3677747796768685E-5</v>
      </c>
      <c r="Y39" s="64">
        <v>3.6965021255644972E-5</v>
      </c>
      <c r="Z39" s="64">
        <v>3.2227881209498737E-5</v>
      </c>
      <c r="AA39" s="64">
        <v>3.3148078424196101E-5</v>
      </c>
      <c r="AB39" s="64">
        <v>1.872000810079117E-5</v>
      </c>
      <c r="AC39" s="64">
        <v>5.3578151801779183E-5</v>
      </c>
      <c r="AD39" s="64">
        <v>6.7036880259279666E-5</v>
      </c>
      <c r="AE39" s="64">
        <v>1.7555718440507061E-5</v>
      </c>
      <c r="AF39" s="64">
        <v>5.5493623231978414E-5</v>
      </c>
      <c r="AG39" s="64">
        <v>2.3025169341310038E-5</v>
      </c>
      <c r="AH39" s="64">
        <v>5.7810547702130384E-5</v>
      </c>
      <c r="AI39" s="64">
        <v>5.2273539797845353E-3</v>
      </c>
      <c r="AJ39" s="64">
        <v>2.2554279761638824E-5</v>
      </c>
      <c r="AK39" s="65">
        <f t="shared" si="0"/>
        <v>6.4470548478877364E-3</v>
      </c>
    </row>
    <row r="40" spans="1:37" ht="13.5" customHeight="1">
      <c r="A40" s="44" t="s">
        <v>88</v>
      </c>
      <c r="B40" s="15" t="s">
        <v>89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5">
        <f t="shared" si="0"/>
        <v>0</v>
      </c>
    </row>
    <row r="41" spans="1:37" ht="13.5" customHeight="1">
      <c r="A41" s="46" t="s">
        <v>91</v>
      </c>
      <c r="B41" s="16" t="s">
        <v>20</v>
      </c>
      <c r="C41" s="63">
        <f>SUM(C7:C40)</f>
        <v>0.53656657582475131</v>
      </c>
      <c r="D41" s="63">
        <f t="shared" ref="D41:AK41" si="1">SUM(D7:D40)</f>
        <v>0.65802833023584995</v>
      </c>
      <c r="E41" s="63">
        <f t="shared" si="1"/>
        <v>0.25013519382639726</v>
      </c>
      <c r="F41" s="63">
        <f t="shared" si="1"/>
        <v>0.22287248217217781</v>
      </c>
      <c r="G41" s="63">
        <f t="shared" si="1"/>
        <v>0.29330147593222167</v>
      </c>
      <c r="H41" s="63">
        <f t="shared" si="1"/>
        <v>0.29365170365436405</v>
      </c>
      <c r="I41" s="63">
        <f t="shared" si="1"/>
        <v>0.45288373831367962</v>
      </c>
      <c r="J41" s="63">
        <f t="shared" si="1"/>
        <v>0.89120077745288717</v>
      </c>
      <c r="K41" s="63">
        <f t="shared" si="1"/>
        <v>1.1107885510352586</v>
      </c>
      <c r="L41" s="63">
        <f t="shared" si="1"/>
        <v>0.89695026538695866</v>
      </c>
      <c r="M41" s="63">
        <f t="shared" si="1"/>
        <v>0.29111073706927382</v>
      </c>
      <c r="N41" s="63">
        <f t="shared" si="1"/>
        <v>0.15656513046618101</v>
      </c>
      <c r="O41" s="63">
        <f t="shared" si="1"/>
        <v>0.19846181240141564</v>
      </c>
      <c r="P41" s="63">
        <f t="shared" si="1"/>
        <v>0.24024049836231254</v>
      </c>
      <c r="Q41" s="63">
        <f t="shared" si="1"/>
        <v>0.23560980828846015</v>
      </c>
      <c r="R41" s="63">
        <f t="shared" si="1"/>
        <v>0.3313811212148195</v>
      </c>
      <c r="S41" s="63">
        <f t="shared" si="1"/>
        <v>0.13391302607612549</v>
      </c>
      <c r="T41" s="63">
        <f t="shared" si="1"/>
        <v>1.8621209973788404</v>
      </c>
      <c r="U41" s="63">
        <f t="shared" si="1"/>
        <v>0.63078443251485572</v>
      </c>
      <c r="V41" s="63">
        <f t="shared" si="1"/>
        <v>0.24839143216640444</v>
      </c>
      <c r="W41" s="63">
        <f t="shared" si="1"/>
        <v>0.11494747550852712</v>
      </c>
      <c r="X41" s="63">
        <f t="shared" si="1"/>
        <v>0.58570234887572603</v>
      </c>
      <c r="Y41" s="63">
        <f t="shared" si="1"/>
        <v>0.17782027299210648</v>
      </c>
      <c r="Z41" s="63">
        <f t="shared" si="1"/>
        <v>5.6084867503983511E-2</v>
      </c>
      <c r="AA41" s="63">
        <f t="shared" si="1"/>
        <v>3.4076490068918365E-2</v>
      </c>
      <c r="AB41" s="63">
        <f t="shared" si="1"/>
        <v>5.7186956073648196E-2</v>
      </c>
      <c r="AC41" s="63">
        <f t="shared" si="1"/>
        <v>0.11453947392311153</v>
      </c>
      <c r="AD41" s="63">
        <f t="shared" si="1"/>
        <v>7.3767552749444562E-2</v>
      </c>
      <c r="AE41" s="63">
        <f t="shared" si="1"/>
        <v>8.5081560274601967E-2</v>
      </c>
      <c r="AF41" s="63">
        <f t="shared" si="1"/>
        <v>0.10964705875061009</v>
      </c>
      <c r="AG41" s="63">
        <f t="shared" si="1"/>
        <v>0.1150405689909508</v>
      </c>
      <c r="AH41" s="63">
        <f t="shared" si="1"/>
        <v>9.8462193870097386E-2</v>
      </c>
      <c r="AI41" s="63">
        <f t="shared" si="1"/>
        <v>0.13082690775603562</v>
      </c>
      <c r="AJ41" s="63">
        <f t="shared" si="1"/>
        <v>0.11873176094507787</v>
      </c>
      <c r="AK41" s="63">
        <f t="shared" si="1"/>
        <v>11.806873578056072</v>
      </c>
    </row>
  </sheetData>
  <mergeCells count="1">
    <mergeCell ref="A5:B6"/>
  </mergeCells>
  <phoneticPr fontId="19" type="noConversion"/>
  <conditionalFormatting sqref="C1:AJ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8CA4-D265-4C1E-BB4D-03D23004BF6F}">
  <sheetPr>
    <tabColor theme="5"/>
  </sheetPr>
  <dimension ref="A2:AK44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J41" sqref="J41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2" spans="1:37" ht="13.5" customHeight="1">
      <c r="B2" s="12"/>
    </row>
    <row r="3" spans="1:37" ht="13.5" customHeight="1">
      <c r="B3" s="2"/>
    </row>
    <row r="4" spans="1:37" s="10" customFormat="1" ht="13.5" customHeight="1">
      <c r="A4" s="21"/>
      <c r="B4" s="15"/>
    </row>
    <row r="5" spans="1:37" s="10" customFormat="1" ht="13.5" customHeight="1">
      <c r="A5" s="182" t="s">
        <v>25</v>
      </c>
      <c r="B5" s="183"/>
      <c r="C5" s="32" t="s">
        <v>44</v>
      </c>
      <c r="D5" s="32" t="s">
        <v>45</v>
      </c>
      <c r="E5" s="32" t="s">
        <v>46</v>
      </c>
      <c r="F5" s="33" t="s">
        <v>47</v>
      </c>
      <c r="G5" s="34" t="s">
        <v>48</v>
      </c>
      <c r="H5" s="34" t="s">
        <v>49</v>
      </c>
      <c r="I5" s="34" t="s">
        <v>50</v>
      </c>
      <c r="J5" s="34"/>
      <c r="K5" s="34" t="s">
        <v>51</v>
      </c>
      <c r="L5" s="34" t="s">
        <v>52</v>
      </c>
      <c r="M5" s="34" t="s">
        <v>53</v>
      </c>
      <c r="N5" s="34" t="s">
        <v>55</v>
      </c>
      <c r="O5" s="34" t="s">
        <v>57</v>
      </c>
      <c r="P5" s="34" t="s">
        <v>59</v>
      </c>
      <c r="Q5" s="34" t="s">
        <v>60</v>
      </c>
      <c r="R5" s="34" t="s">
        <v>61</v>
      </c>
      <c r="S5" s="34" t="s">
        <v>63</v>
      </c>
      <c r="T5" s="34" t="s">
        <v>65</v>
      </c>
      <c r="U5" s="34" t="s">
        <v>66</v>
      </c>
      <c r="V5" s="34" t="s">
        <v>68</v>
      </c>
      <c r="W5" s="34" t="s">
        <v>69</v>
      </c>
      <c r="X5" s="34" t="s">
        <v>71</v>
      </c>
      <c r="Y5" s="34" t="s">
        <v>72</v>
      </c>
      <c r="Z5" s="34" t="s">
        <v>73</v>
      </c>
      <c r="AA5" s="34" t="s">
        <v>74</v>
      </c>
      <c r="AB5" s="34" t="s">
        <v>75</v>
      </c>
      <c r="AC5" s="34" t="s">
        <v>77</v>
      </c>
      <c r="AD5" s="34" t="s">
        <v>78</v>
      </c>
      <c r="AE5" s="34" t="s">
        <v>79</v>
      </c>
      <c r="AF5" s="34" t="s">
        <v>81</v>
      </c>
      <c r="AG5" s="34" t="s">
        <v>82</v>
      </c>
      <c r="AH5" s="34" t="s">
        <v>84</v>
      </c>
      <c r="AI5" s="34" t="s">
        <v>86</v>
      </c>
      <c r="AJ5" s="34" t="s">
        <v>88</v>
      </c>
      <c r="AK5" s="35" t="s">
        <v>98</v>
      </c>
    </row>
    <row r="6" spans="1:37" ht="39.950000000000003" customHeight="1">
      <c r="A6" s="184"/>
      <c r="B6" s="185"/>
      <c r="C6" s="51" t="s">
        <v>2</v>
      </c>
      <c r="D6" s="51" t="s">
        <v>3</v>
      </c>
      <c r="E6" s="51" t="s">
        <v>4</v>
      </c>
      <c r="F6" s="51" t="s">
        <v>5</v>
      </c>
      <c r="G6" s="51" t="s">
        <v>6</v>
      </c>
      <c r="H6" s="51" t="s">
        <v>7</v>
      </c>
      <c r="I6" s="51" t="s">
        <v>8</v>
      </c>
      <c r="J6" s="51" t="s">
        <v>144</v>
      </c>
      <c r="K6" s="51" t="s">
        <v>9</v>
      </c>
      <c r="L6" s="51" t="s">
        <v>10</v>
      </c>
      <c r="M6" s="51" t="s">
        <v>54</v>
      </c>
      <c r="N6" s="51" t="s">
        <v>56</v>
      </c>
      <c r="O6" s="51" t="s">
        <v>58</v>
      </c>
      <c r="P6" s="51" t="s">
        <v>11</v>
      </c>
      <c r="Q6" s="51" t="s">
        <v>12</v>
      </c>
      <c r="R6" s="51" t="s">
        <v>62</v>
      </c>
      <c r="S6" s="51" t="s">
        <v>64</v>
      </c>
      <c r="T6" s="51" t="s">
        <v>13</v>
      </c>
      <c r="U6" s="51" t="s">
        <v>67</v>
      </c>
      <c r="V6" s="51" t="s">
        <v>14</v>
      </c>
      <c r="W6" s="51" t="s">
        <v>70</v>
      </c>
      <c r="X6" s="51" t="s">
        <v>42</v>
      </c>
      <c r="Y6" s="51" t="s">
        <v>15</v>
      </c>
      <c r="Z6" s="51" t="s">
        <v>16</v>
      </c>
      <c r="AA6" s="51" t="s">
        <v>17</v>
      </c>
      <c r="AB6" s="51" t="s">
        <v>76</v>
      </c>
      <c r="AC6" s="51" t="s">
        <v>43</v>
      </c>
      <c r="AD6" s="51" t="s">
        <v>18</v>
      </c>
      <c r="AE6" s="51" t="s">
        <v>80</v>
      </c>
      <c r="AF6" s="51" t="s">
        <v>19</v>
      </c>
      <c r="AG6" s="51" t="s">
        <v>83</v>
      </c>
      <c r="AH6" s="51" t="s">
        <v>85</v>
      </c>
      <c r="AI6" s="51" t="s">
        <v>87</v>
      </c>
      <c r="AJ6" s="51" t="s">
        <v>89</v>
      </c>
      <c r="AK6" s="23" t="s">
        <v>26</v>
      </c>
    </row>
    <row r="7" spans="1:37" ht="13.5" customHeight="1">
      <c r="A7" s="44" t="s">
        <v>44</v>
      </c>
      <c r="B7" s="15" t="s">
        <v>2</v>
      </c>
      <c r="C7" s="61" cm="1">
        <f t="array" ref="C7:AJ40">MMULT(M!C7:AJ40,_xlfn.MUNIT(ROWS(국산거래표_new!AT7:AT40))*국산거래표_new!AT7:AT40)</f>
        <v>28874171.667862058</v>
      </c>
      <c r="D7" s="61">
        <v>13457.358804370751</v>
      </c>
      <c r="E7" s="61">
        <v>15613854.634224165</v>
      </c>
      <c r="F7" s="61">
        <v>133877.23638819871</v>
      </c>
      <c r="G7" s="61">
        <v>236643.23801885988</v>
      </c>
      <c r="H7" s="61">
        <v>59843.93974257158</v>
      </c>
      <c r="I7" s="61">
        <v>794775.28210246959</v>
      </c>
      <c r="J7" s="61">
        <v>1.8101953987077577</v>
      </c>
      <c r="K7" s="61">
        <v>83213.443041776132</v>
      </c>
      <c r="L7" s="61">
        <v>192695.34695170968</v>
      </c>
      <c r="M7" s="61">
        <v>216652.92582301519</v>
      </c>
      <c r="N7" s="61">
        <v>317212.38264653843</v>
      </c>
      <c r="O7" s="61">
        <v>193907.95597457228</v>
      </c>
      <c r="P7" s="61">
        <v>296669.16463949275</v>
      </c>
      <c r="Q7" s="61">
        <v>436683.74744535051</v>
      </c>
      <c r="R7" s="61">
        <v>60996.386466641037</v>
      </c>
      <c r="S7" s="61">
        <v>504875.57984050736</v>
      </c>
      <c r="T7" s="61">
        <v>187333.07297865054</v>
      </c>
      <c r="U7" s="61">
        <v>83150.451156576019</v>
      </c>
      <c r="V7" s="61">
        <v>544735.17456251336</v>
      </c>
      <c r="W7" s="61">
        <v>1199942.3033819196</v>
      </c>
      <c r="X7" s="61">
        <v>243028.82394622808</v>
      </c>
      <c r="Y7" s="61">
        <v>9672775.9888287541</v>
      </c>
      <c r="Z7" s="61">
        <v>347287.04747978208</v>
      </c>
      <c r="AA7" s="61">
        <v>336580.44780204719</v>
      </c>
      <c r="AB7" s="61">
        <v>254263.90953237392</v>
      </c>
      <c r="AC7" s="61">
        <v>998829.40325790795</v>
      </c>
      <c r="AD7" s="61">
        <v>376170.75545261602</v>
      </c>
      <c r="AE7" s="61">
        <v>533943.21625084721</v>
      </c>
      <c r="AF7" s="61">
        <v>807818.25525808416</v>
      </c>
      <c r="AG7" s="61">
        <v>925951.07023124839</v>
      </c>
      <c r="AH7" s="61">
        <v>401203.8653605057</v>
      </c>
      <c r="AI7" s="61">
        <v>401493.25331884</v>
      </c>
      <c r="AJ7" s="61">
        <v>18935.731719324373</v>
      </c>
      <c r="AK7" s="66">
        <f>SUM(C7:AJ7)</f>
        <v>65362974.870685942</v>
      </c>
    </row>
    <row r="8" spans="1:37" ht="13.5" customHeight="1">
      <c r="A8" s="44" t="s">
        <v>45</v>
      </c>
      <c r="B8" s="15" t="s">
        <v>3</v>
      </c>
      <c r="C8" s="61">
        <v>15104.722195829578</v>
      </c>
      <c r="D8" s="61">
        <v>2045350.3893028782</v>
      </c>
      <c r="E8" s="61">
        <v>76566.953359937281</v>
      </c>
      <c r="F8" s="61">
        <v>11617.456435051679</v>
      </c>
      <c r="G8" s="61">
        <v>17280.528067906675</v>
      </c>
      <c r="H8" s="61">
        <v>58424.010167854292</v>
      </c>
      <c r="I8" s="61">
        <v>263026.07931014051</v>
      </c>
      <c r="J8" s="61">
        <v>0.34342340696996915</v>
      </c>
      <c r="K8" s="61">
        <v>1729085.7528692503</v>
      </c>
      <c r="L8" s="61">
        <v>245157.37430332086</v>
      </c>
      <c r="M8" s="61">
        <v>84452.789405419811</v>
      </c>
      <c r="N8" s="61">
        <v>100138.24935072281</v>
      </c>
      <c r="O8" s="61">
        <v>81897.805728133244</v>
      </c>
      <c r="P8" s="61">
        <v>70363.020474549776</v>
      </c>
      <c r="Q8" s="61">
        <v>178692.91040255915</v>
      </c>
      <c r="R8" s="61">
        <v>14820.036523653447</v>
      </c>
      <c r="S8" s="61">
        <v>27128.560364929002</v>
      </c>
      <c r="T8" s="61">
        <v>62258.270784317363</v>
      </c>
      <c r="U8" s="61">
        <v>35027.930764801909</v>
      </c>
      <c r="V8" s="61">
        <v>1117115.5676740219</v>
      </c>
      <c r="W8" s="61">
        <v>42277.189073045178</v>
      </c>
      <c r="X8" s="61">
        <v>24480.975100712742</v>
      </c>
      <c r="Y8" s="61">
        <v>74984.234970700534</v>
      </c>
      <c r="Z8" s="61">
        <v>16825.582187467298</v>
      </c>
      <c r="AA8" s="61">
        <v>10153.814753404786</v>
      </c>
      <c r="AB8" s="61">
        <v>76919.479470849503</v>
      </c>
      <c r="AC8" s="61">
        <v>55399.927413400976</v>
      </c>
      <c r="AD8" s="61">
        <v>28373.974388703879</v>
      </c>
      <c r="AE8" s="61">
        <v>33166.674972117034</v>
      </c>
      <c r="AF8" s="61">
        <v>19511.685572958038</v>
      </c>
      <c r="AG8" s="61">
        <v>38398.805689612687</v>
      </c>
      <c r="AH8" s="61">
        <v>13002.295210002043</v>
      </c>
      <c r="AI8" s="61">
        <v>17428.576584925788</v>
      </c>
      <c r="AJ8" s="61">
        <v>1085.5221808830572</v>
      </c>
      <c r="AK8" s="66">
        <f t="shared" ref="AK8:AK40" si="0">SUM(C8:AJ8)</f>
        <v>6685517.4884774657</v>
      </c>
    </row>
    <row r="9" spans="1:37" ht="13.5" customHeight="1">
      <c r="A9" s="44" t="s">
        <v>46</v>
      </c>
      <c r="B9" s="15" t="s">
        <v>4</v>
      </c>
      <c r="C9" s="61">
        <v>195675.61498386081</v>
      </c>
      <c r="D9" s="61">
        <v>1119.3055206106283</v>
      </c>
      <c r="E9" s="61">
        <v>2485390.8407041016</v>
      </c>
      <c r="F9" s="61">
        <v>9775.9030852854085</v>
      </c>
      <c r="G9" s="61">
        <v>9505.6999951141206</v>
      </c>
      <c r="H9" s="61">
        <v>4989.0065568199943</v>
      </c>
      <c r="I9" s="61">
        <v>56197.394151599052</v>
      </c>
      <c r="J9" s="61">
        <v>0.15687887078302309</v>
      </c>
      <c r="K9" s="61">
        <v>6968.7406037088185</v>
      </c>
      <c r="L9" s="61">
        <v>16869.084609931822</v>
      </c>
      <c r="M9" s="61">
        <v>17561.272218402431</v>
      </c>
      <c r="N9" s="61">
        <v>24620.181347072656</v>
      </c>
      <c r="O9" s="61">
        <v>15484.140578868313</v>
      </c>
      <c r="P9" s="61">
        <v>23223.633603616436</v>
      </c>
      <c r="Q9" s="61">
        <v>34687.904993422031</v>
      </c>
      <c r="R9" s="61">
        <v>4216.1643655102434</v>
      </c>
      <c r="S9" s="61">
        <v>28207.791398357924</v>
      </c>
      <c r="T9" s="61">
        <v>24106.404640374465</v>
      </c>
      <c r="U9" s="61">
        <v>7040.5546222677103</v>
      </c>
      <c r="V9" s="61">
        <v>34367.556504693479</v>
      </c>
      <c r="W9" s="61">
        <v>109045.81655494087</v>
      </c>
      <c r="X9" s="61">
        <v>21760.599269389149</v>
      </c>
      <c r="Y9" s="61">
        <v>773276.37674457452</v>
      </c>
      <c r="Z9" s="61">
        <v>31045.428825831477</v>
      </c>
      <c r="AA9" s="61">
        <v>28578.182566826323</v>
      </c>
      <c r="AB9" s="61">
        <v>20682.316190050664</v>
      </c>
      <c r="AC9" s="61">
        <v>90337.509568950249</v>
      </c>
      <c r="AD9" s="61">
        <v>34946.916983323812</v>
      </c>
      <c r="AE9" s="61">
        <v>42003.418935712994</v>
      </c>
      <c r="AF9" s="61">
        <v>66629.749777971258</v>
      </c>
      <c r="AG9" s="61">
        <v>69459.09578371729</v>
      </c>
      <c r="AH9" s="61">
        <v>48655.628587147505</v>
      </c>
      <c r="AI9" s="61">
        <v>37684.774959110247</v>
      </c>
      <c r="AJ9" s="61">
        <v>1781.3242918306833</v>
      </c>
      <c r="AK9" s="66">
        <f t="shared" si="0"/>
        <v>4375894.490401865</v>
      </c>
    </row>
    <row r="10" spans="1:37" ht="13.5" customHeight="1">
      <c r="A10" s="44" t="s">
        <v>47</v>
      </c>
      <c r="B10" s="15" t="s">
        <v>5</v>
      </c>
      <c r="C10" s="61">
        <v>56917.017921778897</v>
      </c>
      <c r="D10" s="61">
        <v>3395.7911596128879</v>
      </c>
      <c r="E10" s="61">
        <v>87025.080789628977</v>
      </c>
      <c r="F10" s="61">
        <v>5253757.2275149385</v>
      </c>
      <c r="G10" s="61">
        <v>61935.295519519495</v>
      </c>
      <c r="H10" s="61">
        <v>18778.711119908694</v>
      </c>
      <c r="I10" s="61">
        <v>177764.88595082558</v>
      </c>
      <c r="J10" s="61">
        <v>0.39311479491356854</v>
      </c>
      <c r="K10" s="61">
        <v>31108.395359161343</v>
      </c>
      <c r="L10" s="61">
        <v>54291.105772499097</v>
      </c>
      <c r="M10" s="61">
        <v>76820.207383622692</v>
      </c>
      <c r="N10" s="61">
        <v>98526.81959740413</v>
      </c>
      <c r="O10" s="61">
        <v>54183.022367554739</v>
      </c>
      <c r="P10" s="61">
        <v>81890.29277454548</v>
      </c>
      <c r="Q10" s="61">
        <v>198822.59851948288</v>
      </c>
      <c r="R10" s="61">
        <v>120478.28903510797</v>
      </c>
      <c r="S10" s="61">
        <v>232992.84226428668</v>
      </c>
      <c r="T10" s="61">
        <v>16445.870450743914</v>
      </c>
      <c r="U10" s="61">
        <v>30063.123087873442</v>
      </c>
      <c r="V10" s="61">
        <v>103002.74340364712</v>
      </c>
      <c r="W10" s="61">
        <v>183024.74465978204</v>
      </c>
      <c r="X10" s="61">
        <v>175214.77775585224</v>
      </c>
      <c r="Y10" s="61">
        <v>191338.69101148302</v>
      </c>
      <c r="Z10" s="61">
        <v>56284.494251808253</v>
      </c>
      <c r="AA10" s="61">
        <v>34575.556906204998</v>
      </c>
      <c r="AB10" s="61">
        <v>46207.222851073304</v>
      </c>
      <c r="AC10" s="61">
        <v>116310.30696368162</v>
      </c>
      <c r="AD10" s="61">
        <v>117029.25717812382</v>
      </c>
      <c r="AE10" s="61">
        <v>73871.091709605476</v>
      </c>
      <c r="AF10" s="61">
        <v>46635.441995896974</v>
      </c>
      <c r="AG10" s="61">
        <v>104166.14634081959</v>
      </c>
      <c r="AH10" s="61">
        <v>57923.886162659204</v>
      </c>
      <c r="AI10" s="61">
        <v>86472.790530500919</v>
      </c>
      <c r="AJ10" s="61">
        <v>3315.5585862135003</v>
      </c>
      <c r="AK10" s="66">
        <f t="shared" si="0"/>
        <v>8050569.680010641</v>
      </c>
    </row>
    <row r="11" spans="1:37" ht="13.5" customHeight="1">
      <c r="A11" s="44" t="s">
        <v>48</v>
      </c>
      <c r="B11" s="15" t="s">
        <v>6</v>
      </c>
      <c r="C11" s="61">
        <v>101763.18749397843</v>
      </c>
      <c r="D11" s="61">
        <v>2882.4136457520381</v>
      </c>
      <c r="E11" s="61">
        <v>370175.51112629875</v>
      </c>
      <c r="F11" s="61">
        <v>39972.347818017719</v>
      </c>
      <c r="G11" s="61">
        <v>3663062.2027412499</v>
      </c>
      <c r="H11" s="61">
        <v>26678.698900877644</v>
      </c>
      <c r="I11" s="61">
        <v>248663.08198650612</v>
      </c>
      <c r="J11" s="61">
        <v>0.66691154695569155</v>
      </c>
      <c r="K11" s="61">
        <v>48201.386072120324</v>
      </c>
      <c r="L11" s="61">
        <v>62925.912500561186</v>
      </c>
      <c r="M11" s="61">
        <v>118033.78549499736</v>
      </c>
      <c r="N11" s="61">
        <v>81784.204763513757</v>
      </c>
      <c r="O11" s="61">
        <v>88762.100173857471</v>
      </c>
      <c r="P11" s="61">
        <v>95906.105528588101</v>
      </c>
      <c r="Q11" s="61">
        <v>135705.72926493155</v>
      </c>
      <c r="R11" s="61">
        <v>106628.69169684456</v>
      </c>
      <c r="S11" s="61">
        <v>60928.889126849128</v>
      </c>
      <c r="T11" s="61">
        <v>54030.539670569618</v>
      </c>
      <c r="U11" s="61">
        <v>15721.095510210209</v>
      </c>
      <c r="V11" s="61">
        <v>474289.06339682458</v>
      </c>
      <c r="W11" s="61">
        <v>409208.06275370071</v>
      </c>
      <c r="X11" s="61">
        <v>141048.71458354211</v>
      </c>
      <c r="Y11" s="61">
        <v>314550.19494847947</v>
      </c>
      <c r="Z11" s="61">
        <v>196063.30552496141</v>
      </c>
      <c r="AA11" s="61">
        <v>163405.49524361471</v>
      </c>
      <c r="AB11" s="61">
        <v>84112.974861169147</v>
      </c>
      <c r="AC11" s="61">
        <v>453686.41189045209</v>
      </c>
      <c r="AD11" s="61">
        <v>84162.274424475007</v>
      </c>
      <c r="AE11" s="61">
        <v>93431.703762965801</v>
      </c>
      <c r="AF11" s="61">
        <v>108681.73664098329</v>
      </c>
      <c r="AG11" s="61">
        <v>146045.50691758681</v>
      </c>
      <c r="AH11" s="61">
        <v>44579.103476567048</v>
      </c>
      <c r="AI11" s="61">
        <v>87801.328013213919</v>
      </c>
      <c r="AJ11" s="61">
        <v>3193.5941865605241</v>
      </c>
      <c r="AK11" s="66">
        <f t="shared" si="0"/>
        <v>8126086.021052368</v>
      </c>
    </row>
    <row r="12" spans="1:37" ht="13.5" customHeight="1">
      <c r="A12" s="44" t="s">
        <v>49</v>
      </c>
      <c r="B12" s="15" t="s">
        <v>7</v>
      </c>
      <c r="C12" s="61">
        <v>573162.38547895185</v>
      </c>
      <c r="D12" s="61">
        <v>52815.671866858553</v>
      </c>
      <c r="E12" s="61">
        <v>871779.03881539253</v>
      </c>
      <c r="F12" s="61">
        <v>286664.60646044265</v>
      </c>
      <c r="G12" s="61">
        <v>285722.36956413439</v>
      </c>
      <c r="H12" s="61">
        <v>37464517.125383027</v>
      </c>
      <c r="I12" s="61">
        <v>5722474.7335135387</v>
      </c>
      <c r="J12" s="61">
        <v>8.9824442407843481</v>
      </c>
      <c r="K12" s="61">
        <v>807384.82268496661</v>
      </c>
      <c r="L12" s="61">
        <v>598454.76768648799</v>
      </c>
      <c r="M12" s="61">
        <v>569484.95418327441</v>
      </c>
      <c r="N12" s="61">
        <v>674641.0757327578</v>
      </c>
      <c r="O12" s="61">
        <v>620661.43587697635</v>
      </c>
      <c r="P12" s="61">
        <v>625291.33843608631</v>
      </c>
      <c r="Q12" s="61">
        <v>1289296.2794075033</v>
      </c>
      <c r="R12" s="61">
        <v>135573.76686513214</v>
      </c>
      <c r="S12" s="61">
        <v>394282.76744603482</v>
      </c>
      <c r="T12" s="61">
        <v>780683.75645484775</v>
      </c>
      <c r="U12" s="61">
        <v>304067.81916273327</v>
      </c>
      <c r="V12" s="61">
        <v>2253595.5800229097</v>
      </c>
      <c r="W12" s="61">
        <v>3020211.4239402176</v>
      </c>
      <c r="X12" s="61">
        <v>3899541.324132917</v>
      </c>
      <c r="Y12" s="61">
        <v>1406354.9508244402</v>
      </c>
      <c r="Z12" s="61">
        <v>416449.88558971701</v>
      </c>
      <c r="AA12" s="61">
        <v>218489.07592328652</v>
      </c>
      <c r="AB12" s="61">
        <v>503027.43920910126</v>
      </c>
      <c r="AC12" s="61">
        <v>1648715.4452552889</v>
      </c>
      <c r="AD12" s="61">
        <v>475031.81257121224</v>
      </c>
      <c r="AE12" s="61">
        <v>937724.67385601974</v>
      </c>
      <c r="AF12" s="61">
        <v>681340.26915319019</v>
      </c>
      <c r="AG12" s="61">
        <v>950489.86791971582</v>
      </c>
      <c r="AH12" s="61">
        <v>193645.04829194979</v>
      </c>
      <c r="AI12" s="61">
        <v>423166.65478830104</v>
      </c>
      <c r="AJ12" s="61">
        <v>30871.592648234488</v>
      </c>
      <c r="AK12" s="66">
        <f t="shared" si="0"/>
        <v>69115622.741589889</v>
      </c>
    </row>
    <row r="13" spans="1:37" ht="13.5" customHeight="1">
      <c r="A13" s="44" t="s">
        <v>50</v>
      </c>
      <c r="B13" s="15" t="s">
        <v>8</v>
      </c>
      <c r="C13" s="61">
        <v>1751413.9845724085</v>
      </c>
      <c r="D13" s="61">
        <v>96453.425489843692</v>
      </c>
      <c r="E13" s="61">
        <v>3005400.4019383285</v>
      </c>
      <c r="F13" s="61">
        <v>2021005.0018624784</v>
      </c>
      <c r="G13" s="61">
        <v>1526282.7084425376</v>
      </c>
      <c r="H13" s="61">
        <v>1098283.6279009231</v>
      </c>
      <c r="I13" s="61">
        <v>107342235.81852478</v>
      </c>
      <c r="J13" s="61">
        <v>37.898651700604425</v>
      </c>
      <c r="K13" s="61">
        <v>884258.03208512999</v>
      </c>
      <c r="L13" s="61">
        <v>1286959.3069610083</v>
      </c>
      <c r="M13" s="61">
        <v>3231352.816560098</v>
      </c>
      <c r="N13" s="61">
        <v>4221443.1575916484</v>
      </c>
      <c r="O13" s="61">
        <v>4007435.2019858221</v>
      </c>
      <c r="P13" s="61">
        <v>3010983.3212966518</v>
      </c>
      <c r="Q13" s="61">
        <v>9801603.2758156117</v>
      </c>
      <c r="R13" s="61">
        <v>957009.97795980028</v>
      </c>
      <c r="S13" s="61">
        <v>1210734.9437729993</v>
      </c>
      <c r="T13" s="61">
        <v>1112241.8044342063</v>
      </c>
      <c r="U13" s="61">
        <v>820716.74226197554</v>
      </c>
      <c r="V13" s="61">
        <v>5997150.8318725387</v>
      </c>
      <c r="W13" s="61">
        <v>3024205.9383652918</v>
      </c>
      <c r="X13" s="61">
        <v>1325095.626505356</v>
      </c>
      <c r="Y13" s="61">
        <v>3287184.6080069682</v>
      </c>
      <c r="Z13" s="61">
        <v>1034329.8817994015</v>
      </c>
      <c r="AA13" s="61">
        <v>545845.67712734255</v>
      </c>
      <c r="AB13" s="61">
        <v>909217.50771352532</v>
      </c>
      <c r="AC13" s="61">
        <v>4442485.72338132</v>
      </c>
      <c r="AD13" s="61">
        <v>1726348.4904324401</v>
      </c>
      <c r="AE13" s="61">
        <v>1030466.9690463119</v>
      </c>
      <c r="AF13" s="61">
        <v>928944.88976175047</v>
      </c>
      <c r="AG13" s="61">
        <v>7275553.0918179108</v>
      </c>
      <c r="AH13" s="61">
        <v>521506.91470208584</v>
      </c>
      <c r="AI13" s="61">
        <v>1561942.1080721559</v>
      </c>
      <c r="AJ13" s="61">
        <v>38349.008532116524</v>
      </c>
      <c r="AK13" s="66">
        <f t="shared" si="0"/>
        <v>181034478.71524447</v>
      </c>
    </row>
    <row r="14" spans="1:37" ht="13.5" customHeight="1">
      <c r="A14" s="44"/>
      <c r="B14" s="15"/>
      <c r="C14" s="61">
        <v>4.6478880030307641</v>
      </c>
      <c r="D14" s="61">
        <v>0.25596730592220085</v>
      </c>
      <c r="E14" s="61">
        <v>7.9757068263237327</v>
      </c>
      <c r="F14" s="61">
        <v>5.3633264236582505</v>
      </c>
      <c r="G14" s="61">
        <v>4.0504364772074766</v>
      </c>
      <c r="H14" s="61">
        <v>2.9146160433862671</v>
      </c>
      <c r="I14" s="61">
        <v>60.121082849116029</v>
      </c>
      <c r="J14" s="61">
        <v>288.16480778719233</v>
      </c>
      <c r="K14" s="61">
        <v>2.3466366804850378</v>
      </c>
      <c r="L14" s="61">
        <v>3.4153220060494278</v>
      </c>
      <c r="M14" s="61">
        <v>8.5753374827117721</v>
      </c>
      <c r="N14" s="61">
        <v>11.202831072767054</v>
      </c>
      <c r="O14" s="61">
        <v>10.63489852330971</v>
      </c>
      <c r="P14" s="61">
        <v>7.9905227317213159</v>
      </c>
      <c r="Q14" s="61">
        <v>26.011414021712692</v>
      </c>
      <c r="R14" s="61">
        <v>2.5397051950718845</v>
      </c>
      <c r="S14" s="61">
        <v>3.2130384190043566</v>
      </c>
      <c r="T14" s="61">
        <v>2.9516581372742339</v>
      </c>
      <c r="U14" s="61">
        <v>2.1780113290446446</v>
      </c>
      <c r="V14" s="61">
        <v>15.915189469399801</v>
      </c>
      <c r="W14" s="61">
        <v>8.0256128039620087</v>
      </c>
      <c r="X14" s="61">
        <v>3.5165278566657192</v>
      </c>
      <c r="Y14" s="61">
        <v>8.7235034308767823</v>
      </c>
      <c r="Z14" s="61">
        <v>2.7448961188724117</v>
      </c>
      <c r="AA14" s="61">
        <v>1.4485607609475453</v>
      </c>
      <c r="AB14" s="61">
        <v>2.4128739312761338</v>
      </c>
      <c r="AC14" s="61">
        <v>11.789432012774844</v>
      </c>
      <c r="AD14" s="61">
        <v>4.5813694011871009</v>
      </c>
      <c r="AE14" s="61">
        <v>2.7346447528333164</v>
      </c>
      <c r="AF14" s="61">
        <v>2.4652262952293866</v>
      </c>
      <c r="AG14" s="61">
        <v>19.307802854577371</v>
      </c>
      <c r="AH14" s="61">
        <v>1.3839707537411197</v>
      </c>
      <c r="AI14" s="61">
        <v>4.1450690981604525</v>
      </c>
      <c r="AJ14" s="61">
        <v>0.10177028289977086</v>
      </c>
      <c r="AK14" s="66">
        <f t="shared" si="0"/>
        <v>543.84965713839313</v>
      </c>
    </row>
    <row r="15" spans="1:37" ht="13.5" customHeight="1">
      <c r="A15" s="44" t="s">
        <v>51</v>
      </c>
      <c r="B15" s="15" t="s">
        <v>9</v>
      </c>
      <c r="C15" s="61">
        <v>157867.50858621989</v>
      </c>
      <c r="D15" s="61">
        <v>17613.619002612417</v>
      </c>
      <c r="E15" s="61">
        <v>1011983.0884181717</v>
      </c>
      <c r="F15" s="61">
        <v>97726.364698500169</v>
      </c>
      <c r="G15" s="61">
        <v>125461.93305060062</v>
      </c>
      <c r="H15" s="61">
        <v>185049.36100334398</v>
      </c>
      <c r="I15" s="61">
        <v>1321315.5387956391</v>
      </c>
      <c r="J15" s="61">
        <v>2.6128985791779731</v>
      </c>
      <c r="K15" s="61">
        <v>39969606.479667038</v>
      </c>
      <c r="L15" s="61">
        <v>2839584.8768724939</v>
      </c>
      <c r="M15" s="61">
        <v>981085.09572044073</v>
      </c>
      <c r="N15" s="61">
        <v>1455604.638222089</v>
      </c>
      <c r="O15" s="61">
        <v>1281878.5789953903</v>
      </c>
      <c r="P15" s="61">
        <v>890963.86225282121</v>
      </c>
      <c r="Q15" s="61">
        <v>2874561.4715274693</v>
      </c>
      <c r="R15" s="61">
        <v>223577.49024170969</v>
      </c>
      <c r="S15" s="61">
        <v>287720.92428525578</v>
      </c>
      <c r="T15" s="61">
        <v>-41986.79902109276</v>
      </c>
      <c r="U15" s="61">
        <v>226395.80750271829</v>
      </c>
      <c r="V15" s="61">
        <v>22680938.368387565</v>
      </c>
      <c r="W15" s="61">
        <v>549722.71017367649</v>
      </c>
      <c r="X15" s="61">
        <v>274615.45638136211</v>
      </c>
      <c r="Y15" s="61">
        <v>1116231.6790185452</v>
      </c>
      <c r="Z15" s="61">
        <v>228699.5472410894</v>
      </c>
      <c r="AA15" s="61">
        <v>133565.56522667274</v>
      </c>
      <c r="AB15" s="61">
        <v>1463441.6553731437</v>
      </c>
      <c r="AC15" s="61">
        <v>711433.19927114865</v>
      </c>
      <c r="AD15" s="61">
        <v>367771.77272599179</v>
      </c>
      <c r="AE15" s="61">
        <v>458203.40271853673</v>
      </c>
      <c r="AF15" s="61">
        <v>271123.95832956024</v>
      </c>
      <c r="AG15" s="61">
        <v>291944.18325636577</v>
      </c>
      <c r="AH15" s="61">
        <v>201209.08267920624</v>
      </c>
      <c r="AI15" s="61">
        <v>221885.47524290264</v>
      </c>
      <c r="AJ15" s="61">
        <v>15994.509101794154</v>
      </c>
      <c r="AK15" s="66">
        <f t="shared" si="0"/>
        <v>82892793.017847568</v>
      </c>
    </row>
    <row r="16" spans="1:37" ht="13.5" customHeight="1">
      <c r="A16" s="44" t="s">
        <v>52</v>
      </c>
      <c r="B16" s="15" t="s">
        <v>10</v>
      </c>
      <c r="C16" s="61">
        <v>292980.21267995611</v>
      </c>
      <c r="D16" s="61">
        <v>64700.253040892079</v>
      </c>
      <c r="E16" s="61">
        <v>955200.81343081361</v>
      </c>
      <c r="F16" s="61">
        <v>243019.07937521333</v>
      </c>
      <c r="G16" s="61">
        <v>340240.25783741468</v>
      </c>
      <c r="H16" s="61">
        <v>1010945.0740672448</v>
      </c>
      <c r="I16" s="61">
        <v>2550414.7336408822</v>
      </c>
      <c r="J16" s="61">
        <v>11.313497998589124</v>
      </c>
      <c r="K16" s="61">
        <v>995850.89467956556</v>
      </c>
      <c r="L16" s="61">
        <v>125258996.71520649</v>
      </c>
      <c r="M16" s="61">
        <v>17221067.03113598</v>
      </c>
      <c r="N16" s="61">
        <v>4445878.6808123495</v>
      </c>
      <c r="O16" s="61">
        <v>12087716.884682763</v>
      </c>
      <c r="P16" s="61">
        <v>12730701.077604258</v>
      </c>
      <c r="Q16" s="61">
        <v>23832383.666379489</v>
      </c>
      <c r="R16" s="61">
        <v>1305510.2386053095</v>
      </c>
      <c r="S16" s="61">
        <v>1622461.7483933219</v>
      </c>
      <c r="T16" s="61">
        <v>796758.95567645226</v>
      </c>
      <c r="U16" s="61">
        <v>504129.83711032331</v>
      </c>
      <c r="V16" s="61">
        <v>21254008.50819296</v>
      </c>
      <c r="W16" s="61">
        <v>1300882.7710270875</v>
      </c>
      <c r="X16" s="61">
        <v>1178610.2901541039</v>
      </c>
      <c r="Y16" s="61">
        <v>1277527.8623937415</v>
      </c>
      <c r="Z16" s="61">
        <v>706806.15139224299</v>
      </c>
      <c r="AA16" s="61">
        <v>314490.12983292021</v>
      </c>
      <c r="AB16" s="61">
        <v>1581670.1035965434</v>
      </c>
      <c r="AC16" s="61">
        <v>2238015.8441737811</v>
      </c>
      <c r="AD16" s="61">
        <v>735257.38275768654</v>
      </c>
      <c r="AE16" s="61">
        <v>795148.43031275459</v>
      </c>
      <c r="AF16" s="61">
        <v>500588.87408191978</v>
      </c>
      <c r="AG16" s="61">
        <v>699583.65681401594</v>
      </c>
      <c r="AH16" s="61">
        <v>257476.6928308176</v>
      </c>
      <c r="AI16" s="61">
        <v>1033320.076039241</v>
      </c>
      <c r="AJ16" s="61">
        <v>31652.023702960851</v>
      </c>
      <c r="AK16" s="66">
        <f t="shared" si="0"/>
        <v>240164006.26515955</v>
      </c>
    </row>
    <row r="17" spans="1:37" ht="13.5" customHeight="1">
      <c r="A17" s="44" t="s">
        <v>53</v>
      </c>
      <c r="B17" s="15" t="s">
        <v>54</v>
      </c>
      <c r="C17" s="61">
        <v>2038.8840671340213</v>
      </c>
      <c r="D17" s="61">
        <v>567.12653746367016</v>
      </c>
      <c r="E17" s="61">
        <v>11721.659804387236</v>
      </c>
      <c r="F17" s="61">
        <v>1684.2791781360829</v>
      </c>
      <c r="G17" s="61">
        <v>3517.9234917683198</v>
      </c>
      <c r="H17" s="61">
        <v>10689.417916347653</v>
      </c>
      <c r="I17" s="61">
        <v>15548.44390434794</v>
      </c>
      <c r="J17" s="61">
        <v>7.2265718952383262E-2</v>
      </c>
      <c r="K17" s="61">
        <v>3761.1728676193075</v>
      </c>
      <c r="L17" s="61">
        <v>8794.0179019053194</v>
      </c>
      <c r="M17" s="61">
        <v>429565.85364383692</v>
      </c>
      <c r="N17" s="61">
        <v>12287.158815859622</v>
      </c>
      <c r="O17" s="61">
        <v>21914.450085966113</v>
      </c>
      <c r="P17" s="61">
        <v>72325.026750540856</v>
      </c>
      <c r="Q17" s="61">
        <v>83867.368781812489</v>
      </c>
      <c r="R17" s="61">
        <v>5021.6734655574037</v>
      </c>
      <c r="S17" s="61">
        <v>7128.7672429869772</v>
      </c>
      <c r="T17" s="61">
        <v>4749.2304054702226</v>
      </c>
      <c r="U17" s="61">
        <v>3286.2539042247968</v>
      </c>
      <c r="V17" s="61">
        <v>90538.834865404628</v>
      </c>
      <c r="W17" s="61">
        <v>10193.52388397777</v>
      </c>
      <c r="X17" s="61">
        <v>7448.67223950477</v>
      </c>
      <c r="Y17" s="61">
        <v>11992.137273453263</v>
      </c>
      <c r="Z17" s="61">
        <v>3825.4117124429204</v>
      </c>
      <c r="AA17" s="61">
        <v>2301.6231733343361</v>
      </c>
      <c r="AB17" s="61">
        <v>7761.2477347959402</v>
      </c>
      <c r="AC17" s="61">
        <v>11478.872035461969</v>
      </c>
      <c r="AD17" s="61">
        <v>6178.0217940081948</v>
      </c>
      <c r="AE17" s="61">
        <v>7868.2204089854959</v>
      </c>
      <c r="AF17" s="61">
        <v>3919.5351794425728</v>
      </c>
      <c r="AG17" s="61">
        <v>4359.5674227839536</v>
      </c>
      <c r="AH17" s="61">
        <v>2077.4621463790895</v>
      </c>
      <c r="AI17" s="61">
        <v>6485.5646982117341</v>
      </c>
      <c r="AJ17" s="61">
        <v>253.8076634975028</v>
      </c>
      <c r="AK17" s="66">
        <f t="shared" si="0"/>
        <v>875151.28326276795</v>
      </c>
    </row>
    <row r="18" spans="1:37" ht="13.5" customHeight="1">
      <c r="A18" s="44" t="s">
        <v>55</v>
      </c>
      <c r="B18" s="15" t="s">
        <v>56</v>
      </c>
      <c r="C18" s="61">
        <v>8906.9139950520148</v>
      </c>
      <c r="D18" s="61">
        <v>1092.6513311734593</v>
      </c>
      <c r="E18" s="61">
        <v>25912.616859941216</v>
      </c>
      <c r="F18" s="61">
        <v>8461.6150681688796</v>
      </c>
      <c r="G18" s="61">
        <v>10669.449550038511</v>
      </c>
      <c r="H18" s="61">
        <v>18786.947936643275</v>
      </c>
      <c r="I18" s="61">
        <v>48156.031689427386</v>
      </c>
      <c r="J18" s="61">
        <v>0.20119040088014675</v>
      </c>
      <c r="K18" s="61">
        <v>8612.0191436881942</v>
      </c>
      <c r="L18" s="61">
        <v>25835.389474338346</v>
      </c>
      <c r="M18" s="61">
        <v>36120.481617838057</v>
      </c>
      <c r="N18" s="61">
        <v>4499437.3145920336</v>
      </c>
      <c r="O18" s="61">
        <v>157074.39231381196</v>
      </c>
      <c r="P18" s="61">
        <v>133720.4650859182</v>
      </c>
      <c r="Q18" s="61">
        <v>182924.20402292145</v>
      </c>
      <c r="R18" s="61">
        <v>6495.341853066674</v>
      </c>
      <c r="S18" s="61">
        <v>48441.351064665141</v>
      </c>
      <c r="T18" s="61">
        <v>25659.708995323435</v>
      </c>
      <c r="U18" s="61">
        <v>13354.303152985325</v>
      </c>
      <c r="V18" s="61">
        <v>72945.108608530252</v>
      </c>
      <c r="W18" s="61">
        <v>83707.446709763099</v>
      </c>
      <c r="X18" s="61">
        <v>32347.303800298192</v>
      </c>
      <c r="Y18" s="61">
        <v>47523.612380475621</v>
      </c>
      <c r="Z18" s="61">
        <v>110838.25239832548</v>
      </c>
      <c r="AA18" s="61">
        <v>23904.27890764736</v>
      </c>
      <c r="AB18" s="61">
        <v>25440.618321429767</v>
      </c>
      <c r="AC18" s="61">
        <v>199337.7724888566</v>
      </c>
      <c r="AD18" s="61">
        <v>37386.022845301537</v>
      </c>
      <c r="AE18" s="61">
        <v>23204.123913102507</v>
      </c>
      <c r="AF18" s="61">
        <v>33534.996387074898</v>
      </c>
      <c r="AG18" s="61">
        <v>41143.926140432843</v>
      </c>
      <c r="AH18" s="61">
        <v>14349.428664823439</v>
      </c>
      <c r="AI18" s="61">
        <v>44106.82805714116</v>
      </c>
      <c r="AJ18" s="61">
        <v>1369.3412248296431</v>
      </c>
      <c r="AK18" s="66">
        <f t="shared" si="0"/>
        <v>6050800.4597854679</v>
      </c>
    </row>
    <row r="19" spans="1:37" ht="13.5" customHeight="1">
      <c r="A19" s="44" t="s">
        <v>57</v>
      </c>
      <c r="B19" s="15" t="s">
        <v>58</v>
      </c>
      <c r="C19" s="61">
        <v>496.3494199553918</v>
      </c>
      <c r="D19" s="61">
        <v>147.10597832499764</v>
      </c>
      <c r="E19" s="61">
        <v>1502.2443444249432</v>
      </c>
      <c r="F19" s="61">
        <v>540.42565898657347</v>
      </c>
      <c r="G19" s="61">
        <v>653.15164509405793</v>
      </c>
      <c r="H19" s="61">
        <v>861.32577106072245</v>
      </c>
      <c r="I19" s="61">
        <v>2826.9341884699111</v>
      </c>
      <c r="J19" s="61">
        <v>1.3012492787161687E-2</v>
      </c>
      <c r="K19" s="61">
        <v>873.99804381875003</v>
      </c>
      <c r="L19" s="61">
        <v>1744.8829607031516</v>
      </c>
      <c r="M19" s="61">
        <v>2399.378478352744</v>
      </c>
      <c r="N19" s="61">
        <v>5856.9985289462811</v>
      </c>
      <c r="O19" s="61">
        <v>148273.954104073</v>
      </c>
      <c r="P19" s="61">
        <v>8168.6470626166474</v>
      </c>
      <c r="Q19" s="61">
        <v>24848.547830368047</v>
      </c>
      <c r="R19" s="61">
        <v>521.03869202042358</v>
      </c>
      <c r="S19" s="61">
        <v>2751.2207609305151</v>
      </c>
      <c r="T19" s="61">
        <v>2154.7174154490308</v>
      </c>
      <c r="U19" s="61">
        <v>1291.9383057701027</v>
      </c>
      <c r="V19" s="61">
        <v>14903.293011553655</v>
      </c>
      <c r="W19" s="61">
        <v>4318.7166647654622</v>
      </c>
      <c r="X19" s="61">
        <v>4053.0616674053927</v>
      </c>
      <c r="Y19" s="61">
        <v>3687.0324999268755</v>
      </c>
      <c r="Z19" s="61">
        <v>4162.9314757140874</v>
      </c>
      <c r="AA19" s="61">
        <v>1256.0777536924304</v>
      </c>
      <c r="AB19" s="61">
        <v>2374.7688803443557</v>
      </c>
      <c r="AC19" s="61">
        <v>9674.7629252247061</v>
      </c>
      <c r="AD19" s="61">
        <v>3024.8382461366045</v>
      </c>
      <c r="AE19" s="61">
        <v>1675.5064785853699</v>
      </c>
      <c r="AF19" s="61">
        <v>1448.2759264638216</v>
      </c>
      <c r="AG19" s="61">
        <v>1416.2016572171499</v>
      </c>
      <c r="AH19" s="61">
        <v>808.35617259023115</v>
      </c>
      <c r="AI19" s="61">
        <v>3251.7745885761201</v>
      </c>
      <c r="AJ19" s="61">
        <v>56.553454984539762</v>
      </c>
      <c r="AK19" s="66">
        <f t="shared" si="0"/>
        <v>262025.02360503882</v>
      </c>
    </row>
    <row r="20" spans="1:37" ht="13.5" customHeight="1">
      <c r="A20" s="44" t="s">
        <v>59</v>
      </c>
      <c r="B20" s="15" t="s">
        <v>11</v>
      </c>
      <c r="C20" s="61">
        <v>13878.427461089635</v>
      </c>
      <c r="D20" s="61">
        <v>6139.2420121343548</v>
      </c>
      <c r="E20" s="61">
        <v>43324.540697453405</v>
      </c>
      <c r="F20" s="61">
        <v>10086.440259988889</v>
      </c>
      <c r="G20" s="61">
        <v>13401.531041739789</v>
      </c>
      <c r="H20" s="61">
        <v>66428.92186829295</v>
      </c>
      <c r="I20" s="61">
        <v>79403.753633646455</v>
      </c>
      <c r="J20" s="61">
        <v>3.9206058514929163</v>
      </c>
      <c r="K20" s="61">
        <v>20876.43187488199</v>
      </c>
      <c r="L20" s="61">
        <v>57537.523518120914</v>
      </c>
      <c r="M20" s="61">
        <v>124065.54367239134</v>
      </c>
      <c r="N20" s="61">
        <v>90862.105536910371</v>
      </c>
      <c r="O20" s="61">
        <v>75252.208367734813</v>
      </c>
      <c r="P20" s="61">
        <v>7915673.4085649056</v>
      </c>
      <c r="Q20" s="61">
        <v>411130.00503177778</v>
      </c>
      <c r="R20" s="61">
        <v>7939.9026887869113</v>
      </c>
      <c r="S20" s="61">
        <v>62733.607298128089</v>
      </c>
      <c r="T20" s="61">
        <v>52458.881687818619</v>
      </c>
      <c r="U20" s="61">
        <v>57359.145704130206</v>
      </c>
      <c r="V20" s="61">
        <v>476787.05055446079</v>
      </c>
      <c r="W20" s="61">
        <v>62253.882618617667</v>
      </c>
      <c r="X20" s="61">
        <v>51700.972905757641</v>
      </c>
      <c r="Y20" s="61">
        <v>51578.749863253819</v>
      </c>
      <c r="Z20" s="61">
        <v>21732.174665354189</v>
      </c>
      <c r="AA20" s="61">
        <v>11714.202843323257</v>
      </c>
      <c r="AB20" s="61">
        <v>53664.017560067892</v>
      </c>
      <c r="AC20" s="61">
        <v>87739.758677790975</v>
      </c>
      <c r="AD20" s="61">
        <v>29549.918759726927</v>
      </c>
      <c r="AE20" s="61">
        <v>35830.005869526278</v>
      </c>
      <c r="AF20" s="61">
        <v>28704.75195085855</v>
      </c>
      <c r="AG20" s="61">
        <v>29031.284166484063</v>
      </c>
      <c r="AH20" s="61">
        <v>12761.143102005495</v>
      </c>
      <c r="AI20" s="61">
        <v>23491.152331455127</v>
      </c>
      <c r="AJ20" s="61">
        <v>1241.3970848588315</v>
      </c>
      <c r="AK20" s="66">
        <f t="shared" si="0"/>
        <v>10086336.004479323</v>
      </c>
    </row>
    <row r="21" spans="1:37" ht="13.5" customHeight="1">
      <c r="A21" s="44" t="s">
        <v>60</v>
      </c>
      <c r="B21" s="15" t="s">
        <v>12</v>
      </c>
      <c r="C21" s="61">
        <v>4850.0296475277255</v>
      </c>
      <c r="D21" s="61">
        <v>2096.1687057707654</v>
      </c>
      <c r="E21" s="61">
        <v>12216.928137966474</v>
      </c>
      <c r="F21" s="61">
        <v>4906.9772261428925</v>
      </c>
      <c r="G21" s="61">
        <v>4548.0215468573888</v>
      </c>
      <c r="H21" s="61">
        <v>4949.5626986605466</v>
      </c>
      <c r="I21" s="61">
        <v>21321.789709128323</v>
      </c>
      <c r="J21" s="61">
        <v>6.1635224834742833E-2</v>
      </c>
      <c r="K21" s="61">
        <v>7829.1816510586896</v>
      </c>
      <c r="L21" s="61">
        <v>10946.504516321318</v>
      </c>
      <c r="M21" s="61">
        <v>11581.708536173939</v>
      </c>
      <c r="N21" s="61">
        <v>14826.958263215563</v>
      </c>
      <c r="O21" s="61">
        <v>9124.4246078283195</v>
      </c>
      <c r="P21" s="61">
        <v>20121.990514184246</v>
      </c>
      <c r="Q21" s="61">
        <v>3189233.38454135</v>
      </c>
      <c r="R21" s="61">
        <v>2432.8242647395318</v>
      </c>
      <c r="S21" s="61">
        <v>42766.608362612365</v>
      </c>
      <c r="T21" s="61">
        <v>4043.170648347088</v>
      </c>
      <c r="U21" s="61">
        <v>8444.6453601886697</v>
      </c>
      <c r="V21" s="61">
        <v>18643.580981847328</v>
      </c>
      <c r="W21" s="61">
        <v>26752.298342869137</v>
      </c>
      <c r="X21" s="61">
        <v>66276.390220668225</v>
      </c>
      <c r="Y21" s="61">
        <v>12130.25673495041</v>
      </c>
      <c r="Z21" s="61">
        <v>7789.035386146038</v>
      </c>
      <c r="AA21" s="61">
        <v>4555.6755448444974</v>
      </c>
      <c r="AB21" s="61">
        <v>5502.8339405340666</v>
      </c>
      <c r="AC21" s="61">
        <v>45838.514488186898</v>
      </c>
      <c r="AD21" s="61">
        <v>14101.189237065815</v>
      </c>
      <c r="AE21" s="61">
        <v>32535.486765096422</v>
      </c>
      <c r="AF21" s="61">
        <v>6011.4390667207217</v>
      </c>
      <c r="AG21" s="61">
        <v>7993.1404560887922</v>
      </c>
      <c r="AH21" s="61">
        <v>3282.1224914502623</v>
      </c>
      <c r="AI21" s="61">
        <v>72765.899202488872</v>
      </c>
      <c r="AJ21" s="61">
        <v>872.09850917982556</v>
      </c>
      <c r="AK21" s="66">
        <f t="shared" si="0"/>
        <v>3701290.9019414354</v>
      </c>
    </row>
    <row r="22" spans="1:37" ht="13.5" customHeight="1">
      <c r="A22" s="44" t="s">
        <v>61</v>
      </c>
      <c r="B22" s="15" t="s">
        <v>62</v>
      </c>
      <c r="C22" s="61">
        <v>16512.375672210474</v>
      </c>
      <c r="D22" s="61">
        <v>2137.3987520851169</v>
      </c>
      <c r="E22" s="61">
        <v>81639.961385624905</v>
      </c>
      <c r="F22" s="61">
        <v>27221.888746133012</v>
      </c>
      <c r="G22" s="61">
        <v>20556.399487159626</v>
      </c>
      <c r="H22" s="61">
        <v>12976.470709697771</v>
      </c>
      <c r="I22" s="61">
        <v>74743.753894779948</v>
      </c>
      <c r="J22" s="61">
        <v>0.20541509217859091</v>
      </c>
      <c r="K22" s="61">
        <v>14082.932898803121</v>
      </c>
      <c r="L22" s="61">
        <v>37305.536589739844</v>
      </c>
      <c r="M22" s="61">
        <v>47689.224902226728</v>
      </c>
      <c r="N22" s="61">
        <v>50634.708901281454</v>
      </c>
      <c r="O22" s="61">
        <v>36349.056741438246</v>
      </c>
      <c r="P22" s="61">
        <v>51823.697346318106</v>
      </c>
      <c r="Q22" s="61">
        <v>75460.281053054205</v>
      </c>
      <c r="R22" s="61">
        <v>3692985.5885024699</v>
      </c>
      <c r="S22" s="61">
        <v>52480.051991077911</v>
      </c>
      <c r="T22" s="61">
        <v>15076.510192808415</v>
      </c>
      <c r="U22" s="61">
        <v>36030.168478655476</v>
      </c>
      <c r="V22" s="61">
        <v>381112.1789005035</v>
      </c>
      <c r="W22" s="61">
        <v>225034.15047554209</v>
      </c>
      <c r="X22" s="61">
        <v>65855.877049965551</v>
      </c>
      <c r="Y22" s="61">
        <v>406176.04397148598</v>
      </c>
      <c r="Z22" s="61">
        <v>113543.69412287044</v>
      </c>
      <c r="AA22" s="61">
        <v>72910.20552585616</v>
      </c>
      <c r="AB22" s="61">
        <v>186323.89713877154</v>
      </c>
      <c r="AC22" s="61">
        <v>349330.70508294331</v>
      </c>
      <c r="AD22" s="61">
        <v>156785.98433859259</v>
      </c>
      <c r="AE22" s="61">
        <v>104527.55483820138</v>
      </c>
      <c r="AF22" s="61">
        <v>312414.1787897264</v>
      </c>
      <c r="AG22" s="61">
        <v>135158.8603528454</v>
      </c>
      <c r="AH22" s="61">
        <v>146866.7013643258</v>
      </c>
      <c r="AI22" s="61">
        <v>125276.84906305883</v>
      </c>
      <c r="AJ22" s="61">
        <v>4054.494553984819</v>
      </c>
      <c r="AK22" s="66">
        <f t="shared" si="0"/>
        <v>7131077.587229331</v>
      </c>
    </row>
    <row r="23" spans="1:37" ht="13.5" customHeight="1">
      <c r="A23" s="44" t="s">
        <v>63</v>
      </c>
      <c r="B23" s="15" t="s">
        <v>64</v>
      </c>
      <c r="C23" s="61">
        <v>25268.594150171994</v>
      </c>
      <c r="D23" s="61">
        <v>4268.6462576388803</v>
      </c>
      <c r="E23" s="61">
        <v>158024.21731663696</v>
      </c>
      <c r="F23" s="61">
        <v>112114.01089661967</v>
      </c>
      <c r="G23" s="61">
        <v>54608.280178845125</v>
      </c>
      <c r="H23" s="61">
        <v>21982.895652741798</v>
      </c>
      <c r="I23" s="61">
        <v>256098.34478576473</v>
      </c>
      <c r="J23" s="61">
        <v>0.74975177055969311</v>
      </c>
      <c r="K23" s="61">
        <v>42016.831678971568</v>
      </c>
      <c r="L23" s="61">
        <v>118475.70078006233</v>
      </c>
      <c r="M23" s="61">
        <v>167493.51001375407</v>
      </c>
      <c r="N23" s="61">
        <v>389613.88012458576</v>
      </c>
      <c r="O23" s="61">
        <v>156635.08106095518</v>
      </c>
      <c r="P23" s="61">
        <v>329060.96121208585</v>
      </c>
      <c r="Q23" s="61">
        <v>345366.4187211059</v>
      </c>
      <c r="R23" s="61">
        <v>47931.969497117199</v>
      </c>
      <c r="S23" s="61">
        <v>1915531.4097325613</v>
      </c>
      <c r="T23" s="61">
        <v>23217.213294658097</v>
      </c>
      <c r="U23" s="61">
        <v>18458.976449918435</v>
      </c>
      <c r="V23" s="61">
        <v>132513.94508685984</v>
      </c>
      <c r="W23" s="61">
        <v>58151.565180260026</v>
      </c>
      <c r="X23" s="61">
        <v>30559.108883621389</v>
      </c>
      <c r="Y23" s="61">
        <v>81155.347295649277</v>
      </c>
      <c r="Z23" s="61">
        <v>32517.070622788498</v>
      </c>
      <c r="AA23" s="61">
        <v>14813.51405218617</v>
      </c>
      <c r="AB23" s="61">
        <v>23191.327667109726</v>
      </c>
      <c r="AC23" s="61">
        <v>73393.426322228304</v>
      </c>
      <c r="AD23" s="61">
        <v>42978.538597382132</v>
      </c>
      <c r="AE23" s="61">
        <v>24649.355978780248</v>
      </c>
      <c r="AF23" s="61">
        <v>25699.486140852798</v>
      </c>
      <c r="AG23" s="61">
        <v>56565.780446018674</v>
      </c>
      <c r="AH23" s="61">
        <v>14082.476002395948</v>
      </c>
      <c r="AI23" s="61">
        <v>26294.558323131474</v>
      </c>
      <c r="AJ23" s="61">
        <v>879.88621302217859</v>
      </c>
      <c r="AK23" s="66">
        <f t="shared" si="0"/>
        <v>4823613.0783682521</v>
      </c>
    </row>
    <row r="24" spans="1:37" s="69" customFormat="1" ht="13.5" customHeight="1">
      <c r="A24" s="67" t="s">
        <v>65</v>
      </c>
      <c r="B24" s="68" t="s">
        <v>13</v>
      </c>
      <c r="C24" s="70">
        <v>5688064.9172231955</v>
      </c>
      <c r="D24" s="70">
        <v>727698.84639334434</v>
      </c>
      <c r="E24" s="70">
        <v>13767163.843284821</v>
      </c>
      <c r="F24" s="70">
        <v>4752810.3349780953</v>
      </c>
      <c r="G24" s="70">
        <v>7471833.5249462137</v>
      </c>
      <c r="H24" s="70">
        <v>10215170.546424519</v>
      </c>
      <c r="I24" s="70">
        <v>38172098.203248426</v>
      </c>
      <c r="J24" s="70">
        <v>498.07510164619492</v>
      </c>
      <c r="K24" s="70">
        <v>7286539.4379718015</v>
      </c>
      <c r="L24" s="70">
        <v>33470444.537317306</v>
      </c>
      <c r="M24" s="70">
        <v>11295793.207765926</v>
      </c>
      <c r="N24" s="70">
        <v>28331436.690359339</v>
      </c>
      <c r="O24" s="70">
        <v>10927243.425842131</v>
      </c>
      <c r="P24" s="70">
        <v>12399946.460501295</v>
      </c>
      <c r="Q24" s="70">
        <v>27469634.759456176</v>
      </c>
      <c r="R24" s="70">
        <v>1733628.3636090418</v>
      </c>
      <c r="S24" s="70">
        <v>4273046.5556994248</v>
      </c>
      <c r="T24" s="70">
        <v>277948623.37076986</v>
      </c>
      <c r="U24" s="70">
        <v>2941393.26470279</v>
      </c>
      <c r="V24" s="70">
        <v>18177437.292848848</v>
      </c>
      <c r="W24" s="70">
        <v>14902500.622438094</v>
      </c>
      <c r="X24" s="70">
        <v>11034012.836376499</v>
      </c>
      <c r="Y24" s="70">
        <v>11189708.254630111</v>
      </c>
      <c r="Z24" s="70">
        <v>5846411.2231559549</v>
      </c>
      <c r="AA24" s="70">
        <v>4134443.4473815626</v>
      </c>
      <c r="AB24" s="70">
        <v>6796606.6190640898</v>
      </c>
      <c r="AC24" s="70">
        <v>20786976.170742933</v>
      </c>
      <c r="AD24" s="70">
        <v>3512834.906475055</v>
      </c>
      <c r="AE24" s="70">
        <v>4140343.9801906608</v>
      </c>
      <c r="AF24" s="70">
        <v>8636305.044005869</v>
      </c>
      <c r="AG24" s="70">
        <v>8391650.8861624934</v>
      </c>
      <c r="AH24" s="70">
        <v>2922081.3299860456</v>
      </c>
      <c r="AI24" s="70">
        <v>3982791.4379245057</v>
      </c>
      <c r="AJ24" s="70">
        <v>132527.72457502643</v>
      </c>
      <c r="AK24" s="66">
        <f t="shared" si="0"/>
        <v>623459700.14155328</v>
      </c>
    </row>
    <row r="25" spans="1:37" ht="13.5" customHeight="1">
      <c r="A25" s="44" t="s">
        <v>66</v>
      </c>
      <c r="B25" s="15" t="s">
        <v>67</v>
      </c>
      <c r="C25" s="61">
        <v>186693.38479745897</v>
      </c>
      <c r="D25" s="61">
        <v>17992.432946177461</v>
      </c>
      <c r="E25" s="61">
        <v>764701.913770971</v>
      </c>
      <c r="F25" s="61">
        <v>321252.62522663712</v>
      </c>
      <c r="G25" s="61">
        <v>441174.62760414893</v>
      </c>
      <c r="H25" s="61">
        <v>170444.15878234486</v>
      </c>
      <c r="I25" s="61">
        <v>3207831.0677315164</v>
      </c>
      <c r="J25" s="61">
        <v>8.3297126252285789</v>
      </c>
      <c r="K25" s="61">
        <v>441092.29428824893</v>
      </c>
      <c r="L25" s="61">
        <v>3096970.293405883</v>
      </c>
      <c r="M25" s="61">
        <v>1093482.4454178142</v>
      </c>
      <c r="N25" s="61">
        <v>543361.31440075825</v>
      </c>
      <c r="O25" s="61">
        <v>687793.59564151638</v>
      </c>
      <c r="P25" s="61">
        <v>1008021.5783018987</v>
      </c>
      <c r="Q25" s="61">
        <v>1494163.3878066768</v>
      </c>
      <c r="R25" s="61">
        <v>128119.48121563943</v>
      </c>
      <c r="S25" s="61">
        <v>318288.64812106715</v>
      </c>
      <c r="T25" s="61">
        <v>285531.14830727887</v>
      </c>
      <c r="U25" s="61">
        <v>19280939.584302217</v>
      </c>
      <c r="V25" s="61">
        <v>1410852.3893567335</v>
      </c>
      <c r="W25" s="61">
        <v>693475.93586820737</v>
      </c>
      <c r="X25" s="61">
        <v>456397.17433305085</v>
      </c>
      <c r="Y25" s="61">
        <v>1833086.5304343915</v>
      </c>
      <c r="Z25" s="61">
        <v>407571.08188951609</v>
      </c>
      <c r="AA25" s="61">
        <v>344966.01699060458</v>
      </c>
      <c r="AB25" s="61">
        <v>1435942.5715653859</v>
      </c>
      <c r="AC25" s="61">
        <v>1066750.6073337938</v>
      </c>
      <c r="AD25" s="61">
        <v>421354.5133267378</v>
      </c>
      <c r="AE25" s="61">
        <v>636166.63365628873</v>
      </c>
      <c r="AF25" s="61">
        <v>812373.17452377034</v>
      </c>
      <c r="AG25" s="61">
        <v>1282826.5611064138</v>
      </c>
      <c r="AH25" s="61">
        <v>292488.68596460373</v>
      </c>
      <c r="AI25" s="61">
        <v>473030.48053676728</v>
      </c>
      <c r="AJ25" s="61">
        <v>19793.653031445741</v>
      </c>
      <c r="AK25" s="66">
        <f t="shared" si="0"/>
        <v>45074938.321698591</v>
      </c>
    </row>
    <row r="26" spans="1:37" ht="13.5" customHeight="1">
      <c r="A26" s="44" t="s">
        <v>68</v>
      </c>
      <c r="B26" s="15" t="s">
        <v>14</v>
      </c>
      <c r="C26" s="61">
        <v>1131.7375274346002</v>
      </c>
      <c r="D26" s="61">
        <v>231.35016200436749</v>
      </c>
      <c r="E26" s="61">
        <v>2895.8621101483</v>
      </c>
      <c r="F26" s="61">
        <v>837.3560850023697</v>
      </c>
      <c r="G26" s="61">
        <v>990.10277775412499</v>
      </c>
      <c r="H26" s="61">
        <v>1094.0994324518415</v>
      </c>
      <c r="I26" s="61">
        <v>4601.1367146942912</v>
      </c>
      <c r="J26" s="61">
        <v>1.4900143056595412E-2</v>
      </c>
      <c r="K26" s="61">
        <v>901.84002909182834</v>
      </c>
      <c r="L26" s="61">
        <v>2572.9578619503245</v>
      </c>
      <c r="M26" s="61">
        <v>2225.792624521619</v>
      </c>
      <c r="N26" s="61">
        <v>2517.1164029680904</v>
      </c>
      <c r="O26" s="61">
        <v>2189.7725005351431</v>
      </c>
      <c r="P26" s="61">
        <v>2385.018312444096</v>
      </c>
      <c r="Q26" s="61">
        <v>3604.8920975337919</v>
      </c>
      <c r="R26" s="61">
        <v>468.4594872915884</v>
      </c>
      <c r="S26" s="61">
        <v>1185.7962440938966</v>
      </c>
      <c r="T26" s="61">
        <v>2430.2506846510078</v>
      </c>
      <c r="U26" s="61">
        <v>1274.0022415409342</v>
      </c>
      <c r="V26" s="61">
        <v>1816950.5877253057</v>
      </c>
      <c r="W26" s="61">
        <v>12993.476665966906</v>
      </c>
      <c r="X26" s="61">
        <v>2825.4329213438054</v>
      </c>
      <c r="Y26" s="61">
        <v>11096.58862358521</v>
      </c>
      <c r="Z26" s="61">
        <v>4822.8998821585674</v>
      </c>
      <c r="AA26" s="61">
        <v>3283.0318583836174</v>
      </c>
      <c r="AB26" s="61">
        <v>104150.22893134291</v>
      </c>
      <c r="AC26" s="61">
        <v>11324.597782474328</v>
      </c>
      <c r="AD26" s="61">
        <v>3960.6559257647764</v>
      </c>
      <c r="AE26" s="61">
        <v>5680.8393088763705</v>
      </c>
      <c r="AF26" s="61">
        <v>3410.3166990762834</v>
      </c>
      <c r="AG26" s="61">
        <v>3623.7583086929199</v>
      </c>
      <c r="AH26" s="61">
        <v>1657.0861421046852</v>
      </c>
      <c r="AI26" s="61">
        <v>2427.845517523157</v>
      </c>
      <c r="AJ26" s="61">
        <v>178.445619577673</v>
      </c>
      <c r="AK26" s="66">
        <f t="shared" si="0"/>
        <v>2021923.3501084317</v>
      </c>
    </row>
    <row r="27" spans="1:37" ht="13.5" customHeight="1">
      <c r="A27" s="44" t="s">
        <v>69</v>
      </c>
      <c r="B27" s="15" t="s">
        <v>70</v>
      </c>
      <c r="C27" s="61">
        <v>25998.305471921281</v>
      </c>
      <c r="D27" s="61">
        <v>939.8635899024971</v>
      </c>
      <c r="E27" s="61">
        <v>82720.809184458281</v>
      </c>
      <c r="F27" s="61">
        <v>31612.275305692569</v>
      </c>
      <c r="G27" s="61">
        <v>21558.543836929715</v>
      </c>
      <c r="H27" s="61">
        <v>12007.672661210572</v>
      </c>
      <c r="I27" s="61">
        <v>94694.921226551945</v>
      </c>
      <c r="J27" s="61">
        <v>0.26525438621630315</v>
      </c>
      <c r="K27" s="61">
        <v>14174.788725298209</v>
      </c>
      <c r="L27" s="61">
        <v>31149.704313405426</v>
      </c>
      <c r="M27" s="61">
        <v>33703.776047967418</v>
      </c>
      <c r="N27" s="61">
        <v>70228.794305402669</v>
      </c>
      <c r="O27" s="61">
        <v>47705.690990937568</v>
      </c>
      <c r="P27" s="61">
        <v>52194.751205279361</v>
      </c>
      <c r="Q27" s="61">
        <v>109239.76445935425</v>
      </c>
      <c r="R27" s="61">
        <v>13534.755149555034</v>
      </c>
      <c r="S27" s="61">
        <v>20284.44387473321</v>
      </c>
      <c r="T27" s="61">
        <v>20946.529302751238</v>
      </c>
      <c r="U27" s="61">
        <v>8272.926981218965</v>
      </c>
      <c r="V27" s="61">
        <v>86368.616219871168</v>
      </c>
      <c r="W27" s="61">
        <v>1531314.3974727783</v>
      </c>
      <c r="X27" s="61">
        <v>26578.726067801195</v>
      </c>
      <c r="Y27" s="61">
        <v>105306.02025968742</v>
      </c>
      <c r="Z27" s="61">
        <v>50561.057950733135</v>
      </c>
      <c r="AA27" s="61">
        <v>12582.80127089607</v>
      </c>
      <c r="AB27" s="61">
        <v>15788.085004740002</v>
      </c>
      <c r="AC27" s="61">
        <v>59955.54636341182</v>
      </c>
      <c r="AD27" s="61">
        <v>21079.833137566497</v>
      </c>
      <c r="AE27" s="61">
        <v>18823.212897760608</v>
      </c>
      <c r="AF27" s="61">
        <v>20418.3888678086</v>
      </c>
      <c r="AG27" s="61">
        <v>67341.956073999667</v>
      </c>
      <c r="AH27" s="61">
        <v>13653.117580903434</v>
      </c>
      <c r="AI27" s="61">
        <v>24268.722871655471</v>
      </c>
      <c r="AJ27" s="61">
        <v>705.73350681812212</v>
      </c>
      <c r="AK27" s="66">
        <f t="shared" si="0"/>
        <v>2745714.7974333884</v>
      </c>
    </row>
    <row r="28" spans="1:37" ht="13.5" customHeight="1">
      <c r="A28" s="44" t="s">
        <v>71</v>
      </c>
      <c r="B28" s="15" t="s">
        <v>42</v>
      </c>
      <c r="C28" s="61">
        <v>1697574.4067386792</v>
      </c>
      <c r="D28" s="61">
        <v>437532.67494141398</v>
      </c>
      <c r="E28" s="61">
        <v>6026558.8781985724</v>
      </c>
      <c r="F28" s="61">
        <v>2216396.9272902361</v>
      </c>
      <c r="G28" s="61">
        <v>2069934.8989641145</v>
      </c>
      <c r="H28" s="61">
        <v>1338433.1453412399</v>
      </c>
      <c r="I28" s="61">
        <v>9816214.5558528565</v>
      </c>
      <c r="J28" s="61">
        <v>25.796240156810146</v>
      </c>
      <c r="K28" s="61">
        <v>4014613.9431917383</v>
      </c>
      <c r="L28" s="61">
        <v>4586367.7611993235</v>
      </c>
      <c r="M28" s="61">
        <v>3802692.3398901098</v>
      </c>
      <c r="N28" s="61">
        <v>4467384.9729951173</v>
      </c>
      <c r="O28" s="61">
        <v>3461314.0833952413</v>
      </c>
      <c r="P28" s="61">
        <v>4580749.6711083045</v>
      </c>
      <c r="Q28" s="61">
        <v>6993789.1402501967</v>
      </c>
      <c r="R28" s="61">
        <v>995174.30296223622</v>
      </c>
      <c r="S28" s="61">
        <v>1728366.107346131</v>
      </c>
      <c r="T28" s="61">
        <v>1016027.0831540971</v>
      </c>
      <c r="U28" s="61">
        <v>1919055.355995106</v>
      </c>
      <c r="V28" s="61">
        <v>7520322.6015054993</v>
      </c>
      <c r="W28" s="61">
        <v>17617537.878952365</v>
      </c>
      <c r="X28" s="61">
        <v>110336304.96126622</v>
      </c>
      <c r="Y28" s="61">
        <v>5468445.4457378155</v>
      </c>
      <c r="Z28" s="61">
        <v>2270520.8238321389</v>
      </c>
      <c r="AA28" s="61">
        <v>1124457.5142125641</v>
      </c>
      <c r="AB28" s="61">
        <v>1534446.1968249681</v>
      </c>
      <c r="AC28" s="61">
        <v>4928288.3677004604</v>
      </c>
      <c r="AD28" s="61">
        <v>2128844.410529247</v>
      </c>
      <c r="AE28" s="61">
        <v>2061705.89858927</v>
      </c>
      <c r="AF28" s="61">
        <v>1281583.9328389345</v>
      </c>
      <c r="AG28" s="61">
        <v>2724204.758590166</v>
      </c>
      <c r="AH28" s="61">
        <v>751919.53289403464</v>
      </c>
      <c r="AI28" s="61">
        <v>1486109.5204011223</v>
      </c>
      <c r="AJ28" s="61">
        <v>154135.96638439791</v>
      </c>
      <c r="AK28" s="66">
        <f t="shared" si="0"/>
        <v>222557033.85531414</v>
      </c>
    </row>
    <row r="29" spans="1:37" ht="13.5" customHeight="1">
      <c r="A29" s="44" t="s">
        <v>72</v>
      </c>
      <c r="B29" s="15" t="s">
        <v>15</v>
      </c>
      <c r="C29" s="61">
        <v>13008.844345577041</v>
      </c>
      <c r="D29" s="61">
        <v>1949.2033513216015</v>
      </c>
      <c r="E29" s="61">
        <v>37466.695060568643</v>
      </c>
      <c r="F29" s="61">
        <v>16219.549755382239</v>
      </c>
      <c r="G29" s="61">
        <v>15003.217946802506</v>
      </c>
      <c r="H29" s="61">
        <v>9055.6544149619167</v>
      </c>
      <c r="I29" s="61">
        <v>62107.991447473396</v>
      </c>
      <c r="J29" s="61">
        <v>0.17431287570009107</v>
      </c>
      <c r="K29" s="61">
        <v>12473.138568270075</v>
      </c>
      <c r="L29" s="61">
        <v>28334.09832869624</v>
      </c>
      <c r="M29" s="61">
        <v>31684.499928417321</v>
      </c>
      <c r="N29" s="61">
        <v>44450.017765470402</v>
      </c>
      <c r="O29" s="61">
        <v>28209.389945056955</v>
      </c>
      <c r="P29" s="61">
        <v>43546.31951274733</v>
      </c>
      <c r="Q29" s="61">
        <v>65042.994459754678</v>
      </c>
      <c r="R29" s="61">
        <v>7789.1856150021013</v>
      </c>
      <c r="S29" s="61">
        <v>41535.285835016883</v>
      </c>
      <c r="T29" s="61">
        <v>12273.33073449073</v>
      </c>
      <c r="U29" s="61">
        <v>13156.867822782246</v>
      </c>
      <c r="V29" s="61">
        <v>63220.105481002334</v>
      </c>
      <c r="W29" s="61">
        <v>208746.53606459571</v>
      </c>
      <c r="X29" s="61">
        <v>39934.743776311072</v>
      </c>
      <c r="Y29" s="61">
        <v>2302796.9028316834</v>
      </c>
      <c r="Z29" s="61">
        <v>60468.659405596547</v>
      </c>
      <c r="AA29" s="61">
        <v>66271.833414628985</v>
      </c>
      <c r="AB29" s="61">
        <v>48234.032075982781</v>
      </c>
      <c r="AC29" s="61">
        <v>171995.08636094118</v>
      </c>
      <c r="AD29" s="61">
        <v>63524.995892265142</v>
      </c>
      <c r="AE29" s="61">
        <v>68003.796191146481</v>
      </c>
      <c r="AF29" s="61">
        <v>53755.943544446076</v>
      </c>
      <c r="AG29" s="61">
        <v>75617.920063867947</v>
      </c>
      <c r="AH29" s="61">
        <v>30375.552042795396</v>
      </c>
      <c r="AI29" s="61">
        <v>60173.696639410031</v>
      </c>
      <c r="AJ29" s="61">
        <v>1688.5559790305065</v>
      </c>
      <c r="AK29" s="66">
        <f t="shared" si="0"/>
        <v>3798114.8189143725</v>
      </c>
    </row>
    <row r="30" spans="1:37" ht="13.5" customHeight="1">
      <c r="A30" s="44" t="s">
        <v>73</v>
      </c>
      <c r="B30" s="15" t="s">
        <v>16</v>
      </c>
      <c r="C30" s="61">
        <v>489.06764424562414</v>
      </c>
      <c r="D30" s="61">
        <v>51.909999156674125</v>
      </c>
      <c r="E30" s="61">
        <v>1572.9844269532541</v>
      </c>
      <c r="F30" s="61">
        <v>529.65167951398678</v>
      </c>
      <c r="G30" s="61">
        <v>591.42330591213704</v>
      </c>
      <c r="H30" s="61">
        <v>570.26242183553541</v>
      </c>
      <c r="I30" s="61">
        <v>2578.8883077766868</v>
      </c>
      <c r="J30" s="61">
        <v>6.9776374711149674E-3</v>
      </c>
      <c r="K30" s="61">
        <v>465.1449506032223</v>
      </c>
      <c r="L30" s="61">
        <v>1212.508564758584</v>
      </c>
      <c r="M30" s="61">
        <v>1151.0110058184985</v>
      </c>
      <c r="N30" s="61">
        <v>2025.6862318151639</v>
      </c>
      <c r="O30" s="61">
        <v>1221.4592590228474</v>
      </c>
      <c r="P30" s="61">
        <v>1571.254567155549</v>
      </c>
      <c r="Q30" s="61">
        <v>2648.579607611362</v>
      </c>
      <c r="R30" s="61">
        <v>370.5498837517427</v>
      </c>
      <c r="S30" s="61">
        <v>888.95348109828126</v>
      </c>
      <c r="T30" s="61">
        <v>488.31309476202665</v>
      </c>
      <c r="U30" s="61">
        <v>591.25515104963415</v>
      </c>
      <c r="V30" s="61">
        <v>3083.849533542123</v>
      </c>
      <c r="W30" s="61">
        <v>7982.828494554994</v>
      </c>
      <c r="X30" s="61">
        <v>2167.6512966532491</v>
      </c>
      <c r="Y30" s="61">
        <v>2830.5289044012347</v>
      </c>
      <c r="Z30" s="61">
        <v>117248.27046502214</v>
      </c>
      <c r="AA30" s="61">
        <v>6478.2399383650591</v>
      </c>
      <c r="AB30" s="61">
        <v>1986.3454828066733</v>
      </c>
      <c r="AC30" s="61">
        <v>14020.255265383377</v>
      </c>
      <c r="AD30" s="61">
        <v>2189.5112456415332</v>
      </c>
      <c r="AE30" s="61">
        <v>2690.9187165706376</v>
      </c>
      <c r="AF30" s="61">
        <v>2964.8435223724496</v>
      </c>
      <c r="AG30" s="61">
        <v>1743.7122608746772</v>
      </c>
      <c r="AH30" s="61">
        <v>2479.6334260437739</v>
      </c>
      <c r="AI30" s="61">
        <v>1319.0596220891159</v>
      </c>
      <c r="AJ30" s="61">
        <v>82.825078072716849</v>
      </c>
      <c r="AK30" s="66">
        <f t="shared" si="0"/>
        <v>188287.38381287205</v>
      </c>
    </row>
    <row r="31" spans="1:37" ht="13.5" customHeight="1">
      <c r="A31" s="44" t="s">
        <v>74</v>
      </c>
      <c r="B31" s="15" t="s">
        <v>17</v>
      </c>
      <c r="C31" s="61">
        <v>1414.7369676164483</v>
      </c>
      <c r="D31" s="61">
        <v>89.41383784898656</v>
      </c>
      <c r="E31" s="61">
        <v>3282.8128273270786</v>
      </c>
      <c r="F31" s="61">
        <v>1346.7255711322343</v>
      </c>
      <c r="G31" s="61">
        <v>1172.8663961359275</v>
      </c>
      <c r="H31" s="61">
        <v>1207.9919594335583</v>
      </c>
      <c r="I31" s="61">
        <v>5594.0843024952856</v>
      </c>
      <c r="J31" s="61">
        <v>1.6676757101758474E-2</v>
      </c>
      <c r="K31" s="61">
        <v>978.98999520730854</v>
      </c>
      <c r="L31" s="61">
        <v>2410.5023192416402</v>
      </c>
      <c r="M31" s="61">
        <v>2517.3490099009191</v>
      </c>
      <c r="N31" s="61">
        <v>3824.652080978758</v>
      </c>
      <c r="O31" s="61">
        <v>2582.3354539985676</v>
      </c>
      <c r="P31" s="61">
        <v>3623.9890963234357</v>
      </c>
      <c r="Q31" s="61">
        <v>5734.106372294109</v>
      </c>
      <c r="R31" s="61">
        <v>565.20798483626515</v>
      </c>
      <c r="S31" s="61">
        <v>1238.164840218104</v>
      </c>
      <c r="T31" s="61">
        <v>1659.241176514231</v>
      </c>
      <c r="U31" s="61">
        <v>858.11484512594586</v>
      </c>
      <c r="V31" s="61">
        <v>6198.5409054413349</v>
      </c>
      <c r="W31" s="61">
        <v>9834.9192101759108</v>
      </c>
      <c r="X31" s="61">
        <v>3044.4930802740901</v>
      </c>
      <c r="Y31" s="61">
        <v>5341.4089623731634</v>
      </c>
      <c r="Z31" s="61">
        <v>3092.1889613148619</v>
      </c>
      <c r="AA31" s="61">
        <v>160145.3062123259</v>
      </c>
      <c r="AB31" s="61">
        <v>15507.485269928657</v>
      </c>
      <c r="AC31" s="61">
        <v>5179.6698911888425</v>
      </c>
      <c r="AD31" s="61">
        <v>1988.8896365922135</v>
      </c>
      <c r="AE31" s="61">
        <v>3559.5796830299591</v>
      </c>
      <c r="AF31" s="61">
        <v>3020.2293035823309</v>
      </c>
      <c r="AG31" s="61">
        <v>4486.264134710319</v>
      </c>
      <c r="AH31" s="61">
        <v>1252.9481242952429</v>
      </c>
      <c r="AI31" s="61">
        <v>2024.457766787106</v>
      </c>
      <c r="AJ31" s="61">
        <v>87.139466612678987</v>
      </c>
      <c r="AK31" s="66">
        <f t="shared" si="0"/>
        <v>264864.8223220185</v>
      </c>
    </row>
    <row r="32" spans="1:37" ht="13.5" customHeight="1">
      <c r="A32" s="44" t="s">
        <v>75</v>
      </c>
      <c r="B32" s="15" t="s">
        <v>76</v>
      </c>
      <c r="C32" s="61">
        <v>663.7663534607135</v>
      </c>
      <c r="D32" s="61">
        <v>57.682631726898911</v>
      </c>
      <c r="E32" s="61">
        <v>2390.3058939496477</v>
      </c>
      <c r="F32" s="61">
        <v>1009.6210868157833</v>
      </c>
      <c r="G32" s="61">
        <v>795.08227006719574</v>
      </c>
      <c r="H32" s="61">
        <v>530.0935635555544</v>
      </c>
      <c r="I32" s="61">
        <v>3363.0020162304645</v>
      </c>
      <c r="J32" s="61">
        <v>9.2288678546814749E-3</v>
      </c>
      <c r="K32" s="61">
        <v>578.2766379004579</v>
      </c>
      <c r="L32" s="61">
        <v>1411.322814740585</v>
      </c>
      <c r="M32" s="61">
        <v>1373.8858793064926</v>
      </c>
      <c r="N32" s="61">
        <v>2305.0217552145668</v>
      </c>
      <c r="O32" s="61">
        <v>1704.1837010268935</v>
      </c>
      <c r="P32" s="61">
        <v>1902.5545931423349</v>
      </c>
      <c r="Q32" s="61">
        <v>3474.622407246075</v>
      </c>
      <c r="R32" s="61">
        <v>486.17353333599897</v>
      </c>
      <c r="S32" s="61">
        <v>1316.443939766674</v>
      </c>
      <c r="T32" s="61">
        <v>642.62077011768372</v>
      </c>
      <c r="U32" s="61">
        <v>909.44064046699452</v>
      </c>
      <c r="V32" s="61">
        <v>3709.0782959660014</v>
      </c>
      <c r="W32" s="61">
        <v>21305.221957121412</v>
      </c>
      <c r="X32" s="61">
        <v>2957.9246287282617</v>
      </c>
      <c r="Y32" s="61">
        <v>12115.16056318228</v>
      </c>
      <c r="Z32" s="61">
        <v>3961.067808958835</v>
      </c>
      <c r="AA32" s="61">
        <v>5174.4166313353462</v>
      </c>
      <c r="AB32" s="61">
        <v>244710.73632851423</v>
      </c>
      <c r="AC32" s="61">
        <v>11454.628574165063</v>
      </c>
      <c r="AD32" s="61">
        <v>3112.4357261847804</v>
      </c>
      <c r="AE32" s="61">
        <v>1413.6969861614891</v>
      </c>
      <c r="AF32" s="61">
        <v>4489.1279967288783</v>
      </c>
      <c r="AG32" s="61">
        <v>5383.8448383392688</v>
      </c>
      <c r="AH32" s="61">
        <v>1160.7188096968871</v>
      </c>
      <c r="AI32" s="61">
        <v>2540.2462780182509</v>
      </c>
      <c r="AJ32" s="61">
        <v>43.416029453058876</v>
      </c>
      <c r="AK32" s="66">
        <f t="shared" si="0"/>
        <v>348445.83116949286</v>
      </c>
    </row>
    <row r="33" spans="1:37" ht="13.5" customHeight="1">
      <c r="A33" s="44" t="s">
        <v>77</v>
      </c>
      <c r="B33" s="15" t="s">
        <v>43</v>
      </c>
      <c r="C33" s="61">
        <v>20703.165073380202</v>
      </c>
      <c r="D33" s="61">
        <v>2403.9299995841661</v>
      </c>
      <c r="E33" s="61">
        <v>91140.539812401519</v>
      </c>
      <c r="F33" s="61">
        <v>21825.947417227399</v>
      </c>
      <c r="G33" s="61">
        <v>20190.788388676341</v>
      </c>
      <c r="H33" s="61">
        <v>24354.595377231122</v>
      </c>
      <c r="I33" s="61">
        <v>157333.48322727412</v>
      </c>
      <c r="J33" s="61">
        <v>0.40505252679687187</v>
      </c>
      <c r="K33" s="61">
        <v>23061.15389668975</v>
      </c>
      <c r="L33" s="61">
        <v>62326.615704883348</v>
      </c>
      <c r="M33" s="61">
        <v>50842.80973642657</v>
      </c>
      <c r="N33" s="61">
        <v>87375.671421364052</v>
      </c>
      <c r="O33" s="61">
        <v>65316.387096453371</v>
      </c>
      <c r="P33" s="61">
        <v>77051.179841386052</v>
      </c>
      <c r="Q33" s="61">
        <v>139322.02522730271</v>
      </c>
      <c r="R33" s="61">
        <v>13609.693459245789</v>
      </c>
      <c r="S33" s="61">
        <v>38044.668257591955</v>
      </c>
      <c r="T33" s="61">
        <v>23500.319674883558</v>
      </c>
      <c r="U33" s="61">
        <v>23720.96753012652</v>
      </c>
      <c r="V33" s="61">
        <v>217312.53599735763</v>
      </c>
      <c r="W33" s="61">
        <v>158996.67905214333</v>
      </c>
      <c r="X33" s="61">
        <v>64304.754749848398</v>
      </c>
      <c r="Y33" s="61">
        <v>80631.375459177041</v>
      </c>
      <c r="Z33" s="61">
        <v>92320.371826320406</v>
      </c>
      <c r="AA33" s="61">
        <v>50864.82842709597</v>
      </c>
      <c r="AB33" s="61">
        <v>51887.954567219524</v>
      </c>
      <c r="AC33" s="61">
        <v>2060463.3402332964</v>
      </c>
      <c r="AD33" s="61">
        <v>52604.603369739591</v>
      </c>
      <c r="AE33" s="61">
        <v>31895.083495316278</v>
      </c>
      <c r="AF33" s="61">
        <v>40219.92612031669</v>
      </c>
      <c r="AG33" s="61">
        <v>36235.210331658258</v>
      </c>
      <c r="AH33" s="61">
        <v>16141.428234693705</v>
      </c>
      <c r="AI33" s="61">
        <v>27768.309465132748</v>
      </c>
      <c r="AJ33" s="61">
        <v>944.04730097520496</v>
      </c>
      <c r="AK33" s="66">
        <f t="shared" si="0"/>
        <v>3924714.7948249462</v>
      </c>
    </row>
    <row r="34" spans="1:37" ht="13.5" customHeight="1">
      <c r="A34" s="44" t="s">
        <v>78</v>
      </c>
      <c r="B34" s="15" t="s">
        <v>18</v>
      </c>
      <c r="C34" s="61">
        <v>1352.503372547548</v>
      </c>
      <c r="D34" s="61">
        <v>422.23696282529886</v>
      </c>
      <c r="E34" s="61">
        <v>4915.6515126675004</v>
      </c>
      <c r="F34" s="61">
        <v>2028.265377710316</v>
      </c>
      <c r="G34" s="61">
        <v>2018.9128024724025</v>
      </c>
      <c r="H34" s="61">
        <v>1652.5238570991878</v>
      </c>
      <c r="I34" s="61">
        <v>8284.646074939672</v>
      </c>
      <c r="J34" s="61">
        <v>2.4000231879917015E-2</v>
      </c>
      <c r="K34" s="61">
        <v>1871.2632209528672</v>
      </c>
      <c r="L34" s="61">
        <v>5513.710699748216</v>
      </c>
      <c r="M34" s="61">
        <v>4587.1349409129452</v>
      </c>
      <c r="N34" s="61">
        <v>7558.2285623644957</v>
      </c>
      <c r="O34" s="61">
        <v>4199.9416065195146</v>
      </c>
      <c r="P34" s="61">
        <v>5268.6784592574541</v>
      </c>
      <c r="Q34" s="61">
        <v>12831.174447357367</v>
      </c>
      <c r="R34" s="61">
        <v>983.0142848240896</v>
      </c>
      <c r="S34" s="61">
        <v>6915.6829430772468</v>
      </c>
      <c r="T34" s="61">
        <v>2755.5156531346306</v>
      </c>
      <c r="U34" s="61">
        <v>2559.7230083178456</v>
      </c>
      <c r="V34" s="61">
        <v>18238.177786985958</v>
      </c>
      <c r="W34" s="61">
        <v>18982.708413677465</v>
      </c>
      <c r="X34" s="61">
        <v>11639.979373339043</v>
      </c>
      <c r="Y34" s="61">
        <v>6970.8005808290482</v>
      </c>
      <c r="Z34" s="61">
        <v>13860.960948369786</v>
      </c>
      <c r="AA34" s="61">
        <v>13665.626991285753</v>
      </c>
      <c r="AB34" s="61">
        <v>17534.330244691562</v>
      </c>
      <c r="AC34" s="61">
        <v>24674.7236957766</v>
      </c>
      <c r="AD34" s="61">
        <v>171478.77659536051</v>
      </c>
      <c r="AE34" s="61">
        <v>7758.3649068843697</v>
      </c>
      <c r="AF34" s="61">
        <v>6351.680722570668</v>
      </c>
      <c r="AG34" s="61">
        <v>6325.4551371671896</v>
      </c>
      <c r="AH34" s="61">
        <v>4735.6025830058425</v>
      </c>
      <c r="AI34" s="61">
        <v>2656.6864828837447</v>
      </c>
      <c r="AJ34" s="61">
        <v>199.63437142325125</v>
      </c>
      <c r="AK34" s="66">
        <f t="shared" si="0"/>
        <v>400792.34062121139</v>
      </c>
    </row>
    <row r="35" spans="1:37" ht="13.5" customHeight="1">
      <c r="A35" s="44" t="s">
        <v>79</v>
      </c>
      <c r="B35" s="15" t="s">
        <v>80</v>
      </c>
      <c r="C35" s="61">
        <v>9531.7244877322901</v>
      </c>
      <c r="D35" s="61">
        <v>598.12060099659641</v>
      </c>
      <c r="E35" s="61">
        <v>11763.370112903329</v>
      </c>
      <c r="F35" s="61">
        <v>2897.7126965207694</v>
      </c>
      <c r="G35" s="61">
        <v>4319.0908649852299</v>
      </c>
      <c r="H35" s="61">
        <v>5046.3411904355989</v>
      </c>
      <c r="I35" s="61">
        <v>33615.091802856485</v>
      </c>
      <c r="J35" s="61">
        <v>9.0296405045306324E-2</v>
      </c>
      <c r="K35" s="61">
        <v>2702.4180715582215</v>
      </c>
      <c r="L35" s="61">
        <v>5103.4628309516402</v>
      </c>
      <c r="M35" s="61">
        <v>8104.6844306450839</v>
      </c>
      <c r="N35" s="61">
        <v>8895.7376079198693</v>
      </c>
      <c r="O35" s="61">
        <v>6159.6068500486535</v>
      </c>
      <c r="P35" s="61">
        <v>9086.5009410843431</v>
      </c>
      <c r="Q35" s="61">
        <v>11548.367822202856</v>
      </c>
      <c r="R35" s="61">
        <v>1710.7010417076135</v>
      </c>
      <c r="S35" s="61">
        <v>15072.992790763097</v>
      </c>
      <c r="T35" s="61">
        <v>5891.3088786188464</v>
      </c>
      <c r="U35" s="61">
        <v>2287.7603804186438</v>
      </c>
      <c r="V35" s="61">
        <v>10158.190564209954</v>
      </c>
      <c r="W35" s="61">
        <v>22334.177257736956</v>
      </c>
      <c r="X35" s="61">
        <v>13354.869403952258</v>
      </c>
      <c r="Y35" s="61">
        <v>15577.849987527243</v>
      </c>
      <c r="Z35" s="61">
        <v>16014.604092813934</v>
      </c>
      <c r="AA35" s="61">
        <v>4627.3243599686712</v>
      </c>
      <c r="AB35" s="61">
        <v>17194.090100999634</v>
      </c>
      <c r="AC35" s="61">
        <v>14885.564290057759</v>
      </c>
      <c r="AD35" s="61">
        <v>7628.0911567794747</v>
      </c>
      <c r="AE35" s="61">
        <v>6019461.6785071129</v>
      </c>
      <c r="AF35" s="61">
        <v>3643.678980851776</v>
      </c>
      <c r="AG35" s="61">
        <v>14854.13621339163</v>
      </c>
      <c r="AH35" s="61">
        <v>4200.7405942364558</v>
      </c>
      <c r="AI35" s="61">
        <v>3590.2514988281082</v>
      </c>
      <c r="AJ35" s="61">
        <v>131465.9383782697</v>
      </c>
      <c r="AK35" s="66">
        <f t="shared" si="0"/>
        <v>6443326.2690854901</v>
      </c>
    </row>
    <row r="36" spans="1:37" ht="13.5" customHeight="1">
      <c r="A36" s="44" t="s">
        <v>81</v>
      </c>
      <c r="B36" s="15" t="s">
        <v>19</v>
      </c>
      <c r="C36" s="61">
        <v>659.9414000883346</v>
      </c>
      <c r="D36" s="61">
        <v>68.004662312028117</v>
      </c>
      <c r="E36" s="61">
        <v>2667.7586271234672</v>
      </c>
      <c r="F36" s="61">
        <v>980.99421780974217</v>
      </c>
      <c r="G36" s="61">
        <v>996.66578532689584</v>
      </c>
      <c r="H36" s="61">
        <v>930.54224756294093</v>
      </c>
      <c r="I36" s="61">
        <v>5244.5728656977963</v>
      </c>
      <c r="J36" s="61">
        <v>1.5175909767038444E-2</v>
      </c>
      <c r="K36" s="61">
        <v>847.44319679447585</v>
      </c>
      <c r="L36" s="61">
        <v>2654.1567411179922</v>
      </c>
      <c r="M36" s="61">
        <v>3234.5335071999802</v>
      </c>
      <c r="N36" s="61">
        <v>3852.4160645528773</v>
      </c>
      <c r="O36" s="61">
        <v>2965.9144735094947</v>
      </c>
      <c r="P36" s="61">
        <v>4105.1818225304623</v>
      </c>
      <c r="Q36" s="61">
        <v>5272.8703771847258</v>
      </c>
      <c r="R36" s="61">
        <v>480.63263933309452</v>
      </c>
      <c r="S36" s="61">
        <v>4837.741116195587</v>
      </c>
      <c r="T36" s="61">
        <v>994.48046248291791</v>
      </c>
      <c r="U36" s="61">
        <v>762.84827965033742</v>
      </c>
      <c r="V36" s="61">
        <v>4747.4317760432004</v>
      </c>
      <c r="W36" s="61">
        <v>15404.535236235772</v>
      </c>
      <c r="X36" s="61">
        <v>2209.5474869199556</v>
      </c>
      <c r="Y36" s="61">
        <v>3791.5275381795268</v>
      </c>
      <c r="Z36" s="61">
        <v>3796.8369210536398</v>
      </c>
      <c r="AA36" s="61">
        <v>6621.8697594474934</v>
      </c>
      <c r="AB36" s="61">
        <v>4117.4461275194808</v>
      </c>
      <c r="AC36" s="61">
        <v>8735.0291934315701</v>
      </c>
      <c r="AD36" s="61">
        <v>2149.8684331471545</v>
      </c>
      <c r="AE36" s="61">
        <v>888.58629198952599</v>
      </c>
      <c r="AF36" s="61">
        <v>2191471.2857039617</v>
      </c>
      <c r="AG36" s="61">
        <v>1879.1159625383079</v>
      </c>
      <c r="AH36" s="61">
        <v>770.92821510517251</v>
      </c>
      <c r="AI36" s="61">
        <v>2102.22766082831</v>
      </c>
      <c r="AJ36" s="61">
        <v>38.133169991701962</v>
      </c>
      <c r="AK36" s="66">
        <f t="shared" si="0"/>
        <v>2290281.0831387755</v>
      </c>
    </row>
    <row r="37" spans="1:37" ht="13.5" customHeight="1">
      <c r="A37" s="44" t="s">
        <v>82</v>
      </c>
      <c r="B37" s="15" t="s">
        <v>83</v>
      </c>
      <c r="C37" s="61">
        <v>1402.0987571594776</v>
      </c>
      <c r="D37" s="61">
        <v>175.84439447236986</v>
      </c>
      <c r="E37" s="61">
        <v>3514.8408648679324</v>
      </c>
      <c r="F37" s="61">
        <v>1218.6009720754262</v>
      </c>
      <c r="G37" s="61">
        <v>1300.0618523434341</v>
      </c>
      <c r="H37" s="61">
        <v>741.9841286042514</v>
      </c>
      <c r="I37" s="61">
        <v>5048.7317232774612</v>
      </c>
      <c r="J37" s="61">
        <v>1.4651424749299473E-2</v>
      </c>
      <c r="K37" s="61">
        <v>1011.1466897104435</v>
      </c>
      <c r="L37" s="61">
        <v>2465.4838787767403</v>
      </c>
      <c r="M37" s="61">
        <v>3032.6349461497334</v>
      </c>
      <c r="N37" s="61">
        <v>3557.7649083732017</v>
      </c>
      <c r="O37" s="61">
        <v>2689.0899013444673</v>
      </c>
      <c r="P37" s="61">
        <v>4161.8598762503534</v>
      </c>
      <c r="Q37" s="61">
        <v>6791.6877654315131</v>
      </c>
      <c r="R37" s="61">
        <v>646.24671289228809</v>
      </c>
      <c r="S37" s="61">
        <v>2833.118486203366</v>
      </c>
      <c r="T37" s="61">
        <v>928.84578115788247</v>
      </c>
      <c r="U37" s="61">
        <v>1645.4432473543479</v>
      </c>
      <c r="V37" s="61">
        <v>7138.5209461130989</v>
      </c>
      <c r="W37" s="61">
        <v>14176.027566979808</v>
      </c>
      <c r="X37" s="61">
        <v>2621.5727015345665</v>
      </c>
      <c r="Y37" s="61">
        <v>6942.5103387002782</v>
      </c>
      <c r="Z37" s="61">
        <v>4422.1386902688919</v>
      </c>
      <c r="AA37" s="61">
        <v>5296.9952928556213</v>
      </c>
      <c r="AB37" s="61">
        <v>3567.4886036967359</v>
      </c>
      <c r="AC37" s="61">
        <v>9667.8407027013473</v>
      </c>
      <c r="AD37" s="61">
        <v>3397.5611061794534</v>
      </c>
      <c r="AE37" s="61">
        <v>1597.2030393896705</v>
      </c>
      <c r="AF37" s="61">
        <v>3457.1789605326785</v>
      </c>
      <c r="AG37" s="61">
        <v>1809333.3555941773</v>
      </c>
      <c r="AH37" s="61">
        <v>2295.6694454234025</v>
      </c>
      <c r="AI37" s="61">
        <v>2273.0406196191548</v>
      </c>
      <c r="AJ37" s="61">
        <v>52.125231390230716</v>
      </c>
      <c r="AK37" s="66">
        <f t="shared" si="0"/>
        <v>1919404.7283774316</v>
      </c>
    </row>
    <row r="38" spans="1:37" ht="13.5" customHeight="1">
      <c r="A38" s="44" t="s">
        <v>84</v>
      </c>
      <c r="B38" s="15" t="s">
        <v>85</v>
      </c>
      <c r="C38" s="61">
        <v>1020.0656596675442</v>
      </c>
      <c r="D38" s="61">
        <v>287.88412734103247</v>
      </c>
      <c r="E38" s="61">
        <v>3014.0701995061859</v>
      </c>
      <c r="F38" s="61">
        <v>1312.8437626930486</v>
      </c>
      <c r="G38" s="61">
        <v>1311.3555431446564</v>
      </c>
      <c r="H38" s="61">
        <v>938.72304735847899</v>
      </c>
      <c r="I38" s="61">
        <v>5462.7739961140387</v>
      </c>
      <c r="J38" s="61">
        <v>1.5347754266622136E-2</v>
      </c>
      <c r="K38" s="61">
        <v>1232.3918690345959</v>
      </c>
      <c r="L38" s="61">
        <v>3339.8524909634052</v>
      </c>
      <c r="M38" s="61">
        <v>3271.7547021044352</v>
      </c>
      <c r="N38" s="61">
        <v>3049.5438209496424</v>
      </c>
      <c r="O38" s="61">
        <v>2528.8132733165335</v>
      </c>
      <c r="P38" s="61">
        <v>3795.2234796624489</v>
      </c>
      <c r="Q38" s="61">
        <v>4774.785846382113</v>
      </c>
      <c r="R38" s="61">
        <v>599.6204643597822</v>
      </c>
      <c r="S38" s="61">
        <v>2767.1593138734979</v>
      </c>
      <c r="T38" s="61">
        <v>950.71666109503144</v>
      </c>
      <c r="U38" s="61">
        <v>1288.2698602323924</v>
      </c>
      <c r="V38" s="61">
        <v>6072.7142876107064</v>
      </c>
      <c r="W38" s="61">
        <v>6472.0813890472946</v>
      </c>
      <c r="X38" s="61">
        <v>5584.7249277303226</v>
      </c>
      <c r="Y38" s="61">
        <v>3373.9515159710404</v>
      </c>
      <c r="Z38" s="61">
        <v>13174.304535100504</v>
      </c>
      <c r="AA38" s="61">
        <v>6057.5688003375471</v>
      </c>
      <c r="AB38" s="61">
        <v>3483.0437423436356</v>
      </c>
      <c r="AC38" s="61">
        <v>15711.110539846562</v>
      </c>
      <c r="AD38" s="61">
        <v>4541.1181168548064</v>
      </c>
      <c r="AE38" s="61">
        <v>1952.6064898846687</v>
      </c>
      <c r="AF38" s="61">
        <v>7777.5003891467622</v>
      </c>
      <c r="AG38" s="61">
        <v>3446.6666167308122</v>
      </c>
      <c r="AH38" s="61">
        <v>388179.9480135974</v>
      </c>
      <c r="AI38" s="61">
        <v>2990.2399232515177</v>
      </c>
      <c r="AJ38" s="61">
        <v>65.466835370996762</v>
      </c>
      <c r="AK38" s="66">
        <f t="shared" si="0"/>
        <v>509828.90958837769</v>
      </c>
    </row>
    <row r="39" spans="1:37" ht="13.5" customHeight="1">
      <c r="A39" s="44" t="s">
        <v>86</v>
      </c>
      <c r="B39" s="15" t="s">
        <v>87</v>
      </c>
      <c r="C39" s="61">
        <v>1728.9713850660262</v>
      </c>
      <c r="D39" s="61">
        <v>315.50777352984704</v>
      </c>
      <c r="E39" s="61">
        <v>5898.0775827363541</v>
      </c>
      <c r="F39" s="61">
        <v>2050.2331611238646</v>
      </c>
      <c r="G39" s="61">
        <v>1905.873779600229</v>
      </c>
      <c r="H39" s="61">
        <v>1649.4213056240021</v>
      </c>
      <c r="I39" s="61">
        <v>8336.7777630465662</v>
      </c>
      <c r="J39" s="61">
        <v>2.3076583747520571E-2</v>
      </c>
      <c r="K39" s="61">
        <v>2355.2035087052941</v>
      </c>
      <c r="L39" s="61">
        <v>5105.0055221951343</v>
      </c>
      <c r="M39" s="61">
        <v>4914.0268043754777</v>
      </c>
      <c r="N39" s="61">
        <v>6162.5119849842395</v>
      </c>
      <c r="O39" s="61">
        <v>4589.0794457148877</v>
      </c>
      <c r="P39" s="61">
        <v>6313.7421540358446</v>
      </c>
      <c r="Q39" s="61">
        <v>9303.84795644119</v>
      </c>
      <c r="R39" s="61">
        <v>944.6243704140644</v>
      </c>
      <c r="S39" s="61">
        <v>5296.8854557464601</v>
      </c>
      <c r="T39" s="61">
        <v>1401.0017526433735</v>
      </c>
      <c r="U39" s="61">
        <v>2914.3148420413827</v>
      </c>
      <c r="V39" s="61">
        <v>10587.296357311014</v>
      </c>
      <c r="W39" s="61">
        <v>24373.318670501536</v>
      </c>
      <c r="X39" s="61">
        <v>20722.948365531836</v>
      </c>
      <c r="Y39" s="61">
        <v>8270.3987505088171</v>
      </c>
      <c r="Z39" s="61">
        <v>7035.4372539749411</v>
      </c>
      <c r="AA39" s="61">
        <v>7655.3227747655501</v>
      </c>
      <c r="AB39" s="61">
        <v>5088.3057505248535</v>
      </c>
      <c r="AC39" s="61">
        <v>19057.499993268495</v>
      </c>
      <c r="AD39" s="61">
        <v>9674.156277474176</v>
      </c>
      <c r="AE39" s="61">
        <v>3556.0099423781758</v>
      </c>
      <c r="AF39" s="61">
        <v>8564.8301495194464</v>
      </c>
      <c r="AG39" s="61">
        <v>5045.9935604268121</v>
      </c>
      <c r="AH39" s="61">
        <v>3740.3782210568634</v>
      </c>
      <c r="AI39" s="61">
        <v>426552.68589612574</v>
      </c>
      <c r="AJ39" s="61">
        <v>113.22155967795666</v>
      </c>
      <c r="AK39" s="66">
        <f t="shared" si="0"/>
        <v>631222.93314765417</v>
      </c>
    </row>
    <row r="40" spans="1:37" ht="13.5" customHeight="1">
      <c r="A40" s="44" t="s">
        <v>88</v>
      </c>
      <c r="B40" s="15" t="s">
        <v>89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6">
        <f t="shared" si="0"/>
        <v>0</v>
      </c>
    </row>
    <row r="41" spans="1:37" ht="13.5" customHeight="1">
      <c r="A41" s="46" t="s">
        <v>91</v>
      </c>
      <c r="B41" s="16" t="s">
        <v>20</v>
      </c>
      <c r="C41" s="61">
        <f>SUM(C7:C40)</f>
        <v>39742450.161281422</v>
      </c>
      <c r="D41" s="61">
        <f t="shared" ref="D41:AJ41" si="1">SUM(D7:D40)</f>
        <v>3505051.7297492875</v>
      </c>
      <c r="E41" s="61">
        <f t="shared" si="1"/>
        <v>45623394.920530081</v>
      </c>
      <c r="F41" s="61">
        <f t="shared" si="1"/>
        <v>15636765.888582392</v>
      </c>
      <c r="G41" s="61">
        <f t="shared" si="1"/>
        <v>16429190.077679945</v>
      </c>
      <c r="H41" s="61">
        <f t="shared" si="1"/>
        <v>51848015.76816754</v>
      </c>
      <c r="I41" s="61">
        <f t="shared" si="1"/>
        <v>170567436.64916605</v>
      </c>
      <c r="J41" s="61">
        <f t="shared" si="1"/>
        <v>890.84270680825057</v>
      </c>
      <c r="K41" s="61">
        <f t="shared" si="1"/>
        <v>56458631.736669831</v>
      </c>
      <c r="L41" s="61">
        <f t="shared" si="1"/>
        <v>172123959.43592167</v>
      </c>
      <c r="M41" s="61">
        <f t="shared" si="1"/>
        <v>39678047.040764898</v>
      </c>
      <c r="N41" s="61">
        <f t="shared" si="1"/>
        <v>50071365.858325548</v>
      </c>
      <c r="O41" s="61">
        <f t="shared" si="1"/>
        <v>34284974.097920649</v>
      </c>
      <c r="P41" s="61">
        <f t="shared" si="1"/>
        <v>44560617.967442729</v>
      </c>
      <c r="Q41" s="61">
        <f t="shared" si="1"/>
        <v>79432470.811511353</v>
      </c>
      <c r="R41" s="61">
        <f t="shared" si="1"/>
        <v>9591252.932842128</v>
      </c>
      <c r="S41" s="61">
        <f t="shared" si="1"/>
        <v>12963088.924128924</v>
      </c>
      <c r="T41" s="61">
        <f t="shared" si="1"/>
        <v>282444278.33722556</v>
      </c>
      <c r="U41" s="61">
        <f t="shared" si="1"/>
        <v>26366171.110377122</v>
      </c>
      <c r="V41" s="61">
        <f t="shared" si="1"/>
        <v>85009061.230804175</v>
      </c>
      <c r="W41" s="61">
        <f t="shared" si="1"/>
        <v>45575371.914128445</v>
      </c>
      <c r="X41" s="61">
        <f t="shared" si="1"/>
        <v>129566303.83188026</v>
      </c>
      <c r="Y41" s="61">
        <f t="shared" si="1"/>
        <v>39784761.745388441</v>
      </c>
      <c r="Z41" s="61">
        <f t="shared" si="1"/>
        <v>12243484.567191359</v>
      </c>
      <c r="AA41" s="61">
        <f t="shared" si="1"/>
        <v>7869733.1160603883</v>
      </c>
      <c r="AB41" s="61">
        <f t="shared" si="1"/>
        <v>15544048.692599567</v>
      </c>
      <c r="AC41" s="61">
        <f t="shared" si="1"/>
        <v>40741159.411291763</v>
      </c>
      <c r="AD41" s="61">
        <f t="shared" si="1"/>
        <v>10645466.059052777</v>
      </c>
      <c r="AE41" s="61">
        <f t="shared" si="1"/>
        <v>17233750.659354627</v>
      </c>
      <c r="AF41" s="61">
        <f t="shared" si="1"/>
        <v>16922817.071569238</v>
      </c>
      <c r="AG41" s="61">
        <f t="shared" si="1"/>
        <v>25211279.088171367</v>
      </c>
      <c r="AH41" s="61">
        <f t="shared" si="1"/>
        <v>6370564.8914933074</v>
      </c>
      <c r="AI41" s="61">
        <f t="shared" si="1"/>
        <v>10675490.7179869</v>
      </c>
      <c r="AJ41" s="61">
        <f t="shared" si="1"/>
        <v>596028.57194209215</v>
      </c>
      <c r="AK41" s="66">
        <f t="shared" ref="AK41" si="2">SUM(C41:AJ41)</f>
        <v>1615317375.8599091</v>
      </c>
    </row>
    <row r="42" spans="1:37" ht="13.5" customHeight="1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7" ht="13.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7" ht="13.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cases2</vt:lpstr>
      <vt:lpstr>A표_총거래표(생산자)_원본</vt:lpstr>
      <vt:lpstr>국산거래표_원본</vt:lpstr>
      <vt:lpstr>수입거래표원본</vt:lpstr>
      <vt:lpstr>총투입계수(A)</vt:lpstr>
      <vt:lpstr>A표_총거래표(생산자)_new</vt:lpstr>
      <vt:lpstr>국산거래표_new</vt:lpstr>
      <vt:lpstr>T_mat_GHG_new</vt:lpstr>
      <vt:lpstr>T_mat_GHG</vt:lpstr>
      <vt:lpstr>Ad</vt:lpstr>
      <vt:lpstr>Lf</vt:lpstr>
      <vt:lpstr>M</vt:lpstr>
      <vt:lpstr>M.diag(X)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정영호</cp:lastModifiedBy>
  <dcterms:created xsi:type="dcterms:W3CDTF">2013-11-16T06:53:41Z</dcterms:created>
  <dcterms:modified xsi:type="dcterms:W3CDTF">2026-06-15T07:38:59Z</dcterms:modified>
</cp:coreProperties>
</file>